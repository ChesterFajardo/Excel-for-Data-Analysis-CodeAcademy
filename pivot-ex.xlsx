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chester/Downloads/"/>
    </mc:Choice>
  </mc:AlternateContent>
  <xr:revisionPtr revIDLastSave="0" documentId="13_ncr:1_{60F5AC7F-10C6-CB47-9095-976CA111B73A}" xr6:coauthVersionLast="47" xr6:coauthVersionMax="47" xr10:uidLastSave="{00000000-0000-0000-0000-000000000000}"/>
  <bookViews>
    <workbookView xWindow="5880" yWindow="620" windowWidth="32420" windowHeight="18440" activeTab="4" xr2:uid="{21A08B8F-33A6-C748-B43F-55333DB6253A}"/>
  </bookViews>
  <sheets>
    <sheet name="Sheet1" sheetId="1" r:id="rId1"/>
    <sheet name="Exercise 1" sheetId="2" r:id="rId2"/>
    <sheet name="Exercise 2" sheetId="8" r:id="rId3"/>
    <sheet name="Exercise 3" sheetId="4" r:id="rId4"/>
    <sheet name="Exercise 4" sheetId="6" r:id="rId5"/>
    <sheet name="Exercise 4 checks" sheetId="7" state="hidden" r:id="rId6"/>
    <sheet name="Exercise 3 checks" sheetId="5" state="hidden" r:id="rId7"/>
    <sheet name="Exercise 2 checks" sheetId="9" state="hidden" r:id="rId8"/>
    <sheet name="Exercise 1 Checks" sheetId="3" state="hidden" r:id="rId9"/>
  </sheets>
  <calcPr calcId="191029"/>
  <pivotCaches>
    <pivotCache cacheId="35" r:id="rId10"/>
    <pivotCache cacheId="25" r:id="rId11"/>
    <pivotCache cacheId="29" r:id="rId12"/>
    <pivotCache cacheId="3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6" a="1"/>
  <c r="A3" i="6" s="1"/>
  <c r="C14" i="1" s="1"/>
  <c r="A3" i="4" a="1"/>
  <c r="A3" i="4" s="1"/>
  <c r="C13"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<sst xmlns="http://schemas.openxmlformats.org/spreadsheetml/2006/main" count="261" uniqueCount="33">
  <si>
    <t>Codecademy: Learn Excel for Data Analysis</t>
  </si>
  <si>
    <t>Exercises</t>
  </si>
  <si>
    <t>Welcome to the exercise spreadsheet for Pivot Tables!</t>
  </si>
  <si>
    <t>Pivot Tables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</si>
  <si>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</si>
  <si>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</si>
  <si>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</si>
  <si>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</si>
  <si>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</si>
  <si>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</si>
  <si>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</si>
  <si>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</si>
  <si>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</si>
  <si>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</si>
  <si>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</si>
  <si>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</si>
  <si>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</si>
  <si>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</si>
  <si>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</si>
  <si>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</si>
  <si>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Count of Year</t>
  </si>
  <si>
    <t>We've already loaded an expanded version of the book title dataset. Create a pivot table that counts the number of years in this table by country and decade. (Hint: the table is sorted, so Algeria should have 2 years in the 50s.)</t>
  </si>
  <si>
    <t>Exercise 3.</t>
  </si>
  <si>
    <t>Exercise 4</t>
  </si>
  <si>
    <t>We've already loaded an expanded version of the book title dataset. We've also loaded a pivot table based on Exercise 3 (yours might not look exactly like ours, and that's fine.) There's a bit of a problem with this table. India has 18 years in the 50s and 22 years in the 60s. That doesn't make much sense! What's happening is that the 1750s and 1950s are being combined. Add the column 'Century' to the 'Columns' of the pivot table. Try adding it both above and below 'Decade'. Which do you think makes the most sense?</t>
  </si>
  <si>
    <t>There are 4 exercises to do here. Once you're done, head back to Codecademy to learn more!</t>
  </si>
  <si>
    <t>We've already loaded a dataset for you to use (below). Create a pivot table in H3 on this sheet. The pivot table you create should answer the following question: What is the average number of book titles per capita in each country by decade?</t>
  </si>
  <si>
    <t>Data Source</t>
  </si>
  <si>
    <t>We've already loaded a dataset for you to use (below). Create a pivot table in H3 on this sheet. The pivot table you create should answer the following question: what is the maximum number of book titles per capita for each country? (Hint: you don't need to specify column labels.)</t>
  </si>
  <si>
    <t>Average of Book titles per capita</t>
  </si>
  <si>
    <t>Max of Book titles per capita</t>
  </si>
  <si>
    <t>7 Total</t>
  </si>
  <si>
    <t>9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</si>
</sst>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sz val="12"/>
      <color rgb="FF000000"/>
      <name val="Calibri"/>
      <family val="2"/>
      <scheme val="minor"/>
    </font>
    <font>
      <u/>
      <sz val="12"/>
      <color theme="10"/>
      <name val="Calibri"/>
      <family val="2"/>
      <scheme val="minor"/>
    </font>
  </fonts>
  <fills count="6">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8" fillId="0" borderId="0" xfId="0" applyFont="1" applyAlignment="1">
      <alignment horizontal="left"/>
    </xf>
    <xf numFmtId="0" fontId="8" fillId="0" borderId="0" xfId="0" applyFont="1"/>
    <xf numFmtId="0" fontId="0" fillId="5" borderId="0" xfId="0" applyFill="1"/>
    <xf numFmtId="0" fontId="6" fillId="4" borderId="2" xfId="0" applyFont="1" applyFill="1" applyBorder="1"/>
    <xf numFmtId="0" fontId="9" fillId="2" borderId="0" xfId="1" applyFill="1" applyBorder="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7" fillId="2" borderId="0" xfId="0" applyFont="1" applyFill="1" applyAlignment="1" applyProtection="1">
      <alignment horizontal="left" wrapText="1"/>
      <protection hidden="1"/>
    </xf>
    <xf numFmtId="0" fontId="5" fillId="2" borderId="0" xfId="0" applyFont="1" applyFill="1" applyAlignment="1">
      <alignment horizontal="left" vertical="center" wrapText="1"/>
    </xf>
    <xf numFmtId="0" fontId="0" fillId="0" borderId="0" xfId="0" applyNumberFormat="1"/>
  </cellXfs>
  <cellStyles count="2">
    <cellStyle name="Hyperlink" xfId="1" builtinId="8"/>
    <cellStyle name="Normal" xfId="0" builtinId="0"/>
  </cellStyles>
  <dxfs count="1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Morse" refreshedDate="44707.580003009258" createdVersion="7" refreshedVersion="7" minRefreshableVersion="3" recordCount="63" xr:uid="{06CED61C-E5C5-3B4E-A7F4-7E58E0F51572}">
  <cacheSource type="worksheet">
    <worksheetSource ref="A5:E68" sheet="Exercise 4"/>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ount="41">
        <n v="1953"/>
        <n v="1954"/>
        <n v="1963"/>
        <n v="1964"/>
        <n v="1965"/>
        <n v="1966"/>
        <n v="1967"/>
        <n v="1968"/>
        <n v="1969"/>
        <n v="1970"/>
        <n v="1750"/>
        <n v="1751"/>
        <n v="1752"/>
        <n v="1753"/>
        <n v="1754"/>
        <n v="1755"/>
        <n v="1756"/>
        <n v="1757"/>
        <n v="1758"/>
        <n v="1759"/>
        <n v="1760"/>
        <n v="1761"/>
        <n v="1762"/>
        <n v="1763"/>
        <n v="1764"/>
        <n v="1765"/>
        <n v="1766"/>
        <n v="1767"/>
        <n v="1768"/>
        <n v="1769"/>
        <n v="1770"/>
        <n v="1950"/>
        <n v="1951"/>
        <n v="1952"/>
        <n v="1955"/>
        <n v="1958"/>
        <n v="1959"/>
        <n v="1960"/>
        <n v="1961"/>
        <n v="1962"/>
        <n v="1957"/>
      </sharedItems>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ount="2">
        <n v="9"/>
        <n v="7"/>
      </sharedItems>
    </cacheField>
    <cacheField name="Book titles per capita" numFmtId="0">
      <sharedItems containsSemiMixedTypes="0" containsString="0" containsNumber="1" minValue="0.1" maxValue="559.57000000000005" count="43">
        <n v="10.6"/>
        <n v="8.1199999999999992"/>
        <n v="12.6"/>
        <n v="13.61"/>
        <n v="10.95"/>
        <n v="15.88"/>
        <n v="20.22"/>
        <n v="21.98"/>
        <n v="289.86"/>
        <n v="140.49"/>
        <n v="265.55"/>
        <n v="345.35"/>
        <n v="559.57000000000005"/>
        <n v="333.55"/>
        <n v="0.1"/>
        <n v="52.28"/>
        <n v="47.61"/>
        <n v="45.53"/>
        <n v="43.52"/>
        <n v="37.64"/>
        <n v="47.22"/>
        <n v="41.71"/>
        <n v="28.12"/>
        <n v="24.75"/>
        <n v="20.2"/>
        <n v="24.42"/>
        <n v="39.299999999999997"/>
        <n v="27.7"/>
        <n v="27"/>
        <n v="24.49"/>
        <n v="20.98"/>
        <n v="22.03"/>
        <n v="25.96"/>
        <n v="26.15"/>
        <n v="15.08"/>
        <n v="23.81"/>
        <n v="32.24"/>
        <n v="29.11"/>
        <n v="24.46"/>
        <n v="23.95"/>
        <n v="43.8"/>
        <n v="53.46"/>
        <n v="26.8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ster Dyn C. Fajardo" refreshedDate="46039.771134259259" createdVersion="8" refreshedVersion="8" minRefreshableVersion="3" recordCount="23" xr:uid="{1E71B5A9-525E-064D-9F70-E082B3308EC4}">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ster Dyn C. Fajardo" refreshedDate="46039.77169652778" createdVersion="8" refreshedVersion="8" minRefreshableVersion="3" recordCount="23" xr:uid="{93E0FC03-A952-534E-AE8B-937E9B9AE1B5}">
  <cacheSource type="worksheet">
    <worksheetSource ref="A5:E28" sheet="Exercise 2"/>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ster Dyn C. Fajardo" refreshedDate="46039.772685069445" createdVersion="8" refreshedVersion="8" minRefreshableVersion="3" recordCount="63" xr:uid="{7F330E70-D5B2-1548-B756-346F32E555F6}">
  <cacheSource type="worksheet">
    <worksheetSource ref="A5:E68" sheet="Exercise 3"/>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x v="0"/>
    <x v="0"/>
  </r>
  <r>
    <x v="0"/>
    <x v="1"/>
    <x v="0"/>
    <x v="0"/>
    <x v="1"/>
  </r>
  <r>
    <x v="0"/>
    <x v="2"/>
    <x v="1"/>
    <x v="0"/>
    <x v="2"/>
  </r>
  <r>
    <x v="0"/>
    <x v="3"/>
    <x v="1"/>
    <x v="0"/>
    <x v="3"/>
  </r>
  <r>
    <x v="0"/>
    <x v="4"/>
    <x v="1"/>
    <x v="0"/>
    <x v="4"/>
  </r>
  <r>
    <x v="0"/>
    <x v="5"/>
    <x v="1"/>
    <x v="0"/>
    <x v="5"/>
  </r>
  <r>
    <x v="0"/>
    <x v="6"/>
    <x v="1"/>
    <x v="0"/>
    <x v="6"/>
  </r>
  <r>
    <x v="0"/>
    <x v="7"/>
    <x v="1"/>
    <x v="0"/>
    <x v="7"/>
  </r>
  <r>
    <x v="1"/>
    <x v="3"/>
    <x v="1"/>
    <x v="0"/>
    <x v="8"/>
  </r>
  <r>
    <x v="1"/>
    <x v="4"/>
    <x v="1"/>
    <x v="0"/>
    <x v="9"/>
  </r>
  <r>
    <x v="1"/>
    <x v="5"/>
    <x v="1"/>
    <x v="0"/>
    <x v="10"/>
  </r>
  <r>
    <x v="1"/>
    <x v="6"/>
    <x v="1"/>
    <x v="0"/>
    <x v="11"/>
  </r>
  <r>
    <x v="1"/>
    <x v="8"/>
    <x v="1"/>
    <x v="0"/>
    <x v="12"/>
  </r>
  <r>
    <x v="1"/>
    <x v="9"/>
    <x v="1"/>
    <x v="0"/>
    <x v="13"/>
  </r>
  <r>
    <x v="2"/>
    <x v="10"/>
    <x v="0"/>
    <x v="1"/>
    <x v="14"/>
  </r>
  <r>
    <x v="2"/>
    <x v="11"/>
    <x v="0"/>
    <x v="1"/>
    <x v="14"/>
  </r>
  <r>
    <x v="2"/>
    <x v="12"/>
    <x v="0"/>
    <x v="1"/>
    <x v="14"/>
  </r>
  <r>
    <x v="2"/>
    <x v="13"/>
    <x v="0"/>
    <x v="1"/>
    <x v="14"/>
  </r>
  <r>
    <x v="2"/>
    <x v="14"/>
    <x v="0"/>
    <x v="1"/>
    <x v="14"/>
  </r>
  <r>
    <x v="2"/>
    <x v="15"/>
    <x v="0"/>
    <x v="1"/>
    <x v="14"/>
  </r>
  <r>
    <x v="2"/>
    <x v="16"/>
    <x v="0"/>
    <x v="1"/>
    <x v="14"/>
  </r>
  <r>
    <x v="2"/>
    <x v="17"/>
    <x v="0"/>
    <x v="1"/>
    <x v="14"/>
  </r>
  <r>
    <x v="2"/>
    <x v="18"/>
    <x v="0"/>
    <x v="1"/>
    <x v="14"/>
  </r>
  <r>
    <x v="2"/>
    <x v="19"/>
    <x v="0"/>
    <x v="1"/>
    <x v="14"/>
  </r>
  <r>
    <x v="2"/>
    <x v="20"/>
    <x v="1"/>
    <x v="1"/>
    <x v="14"/>
  </r>
  <r>
    <x v="2"/>
    <x v="21"/>
    <x v="1"/>
    <x v="1"/>
    <x v="14"/>
  </r>
  <r>
    <x v="2"/>
    <x v="22"/>
    <x v="1"/>
    <x v="1"/>
    <x v="14"/>
  </r>
  <r>
    <x v="2"/>
    <x v="23"/>
    <x v="1"/>
    <x v="1"/>
    <x v="14"/>
  </r>
  <r>
    <x v="2"/>
    <x v="24"/>
    <x v="1"/>
    <x v="1"/>
    <x v="14"/>
  </r>
  <r>
    <x v="2"/>
    <x v="25"/>
    <x v="1"/>
    <x v="1"/>
    <x v="14"/>
  </r>
  <r>
    <x v="2"/>
    <x v="26"/>
    <x v="1"/>
    <x v="1"/>
    <x v="14"/>
  </r>
  <r>
    <x v="2"/>
    <x v="27"/>
    <x v="1"/>
    <x v="1"/>
    <x v="14"/>
  </r>
  <r>
    <x v="2"/>
    <x v="28"/>
    <x v="1"/>
    <x v="1"/>
    <x v="14"/>
  </r>
  <r>
    <x v="2"/>
    <x v="29"/>
    <x v="1"/>
    <x v="1"/>
    <x v="14"/>
  </r>
  <r>
    <x v="2"/>
    <x v="30"/>
    <x v="1"/>
    <x v="1"/>
    <x v="14"/>
  </r>
  <r>
    <x v="2"/>
    <x v="31"/>
    <x v="0"/>
    <x v="0"/>
    <x v="15"/>
  </r>
  <r>
    <x v="2"/>
    <x v="32"/>
    <x v="0"/>
    <x v="0"/>
    <x v="16"/>
  </r>
  <r>
    <x v="2"/>
    <x v="33"/>
    <x v="0"/>
    <x v="0"/>
    <x v="17"/>
  </r>
  <r>
    <x v="2"/>
    <x v="0"/>
    <x v="0"/>
    <x v="0"/>
    <x v="18"/>
  </r>
  <r>
    <x v="2"/>
    <x v="1"/>
    <x v="0"/>
    <x v="0"/>
    <x v="19"/>
  </r>
  <r>
    <x v="2"/>
    <x v="34"/>
    <x v="0"/>
    <x v="0"/>
    <x v="20"/>
  </r>
  <r>
    <x v="2"/>
    <x v="35"/>
    <x v="0"/>
    <x v="0"/>
    <x v="21"/>
  </r>
  <r>
    <x v="2"/>
    <x v="36"/>
    <x v="0"/>
    <x v="0"/>
    <x v="22"/>
  </r>
  <r>
    <x v="2"/>
    <x v="37"/>
    <x v="1"/>
    <x v="0"/>
    <x v="23"/>
  </r>
  <r>
    <x v="2"/>
    <x v="38"/>
    <x v="1"/>
    <x v="0"/>
    <x v="24"/>
  </r>
  <r>
    <x v="2"/>
    <x v="39"/>
    <x v="1"/>
    <x v="0"/>
    <x v="25"/>
  </r>
  <r>
    <x v="2"/>
    <x v="2"/>
    <x v="1"/>
    <x v="0"/>
    <x v="26"/>
  </r>
  <r>
    <x v="2"/>
    <x v="3"/>
    <x v="1"/>
    <x v="0"/>
    <x v="27"/>
  </r>
  <r>
    <x v="2"/>
    <x v="4"/>
    <x v="1"/>
    <x v="0"/>
    <x v="28"/>
  </r>
  <r>
    <x v="2"/>
    <x v="5"/>
    <x v="1"/>
    <x v="0"/>
    <x v="29"/>
  </r>
  <r>
    <x v="2"/>
    <x v="6"/>
    <x v="1"/>
    <x v="0"/>
    <x v="30"/>
  </r>
  <r>
    <x v="2"/>
    <x v="7"/>
    <x v="1"/>
    <x v="0"/>
    <x v="31"/>
  </r>
  <r>
    <x v="2"/>
    <x v="8"/>
    <x v="1"/>
    <x v="0"/>
    <x v="32"/>
  </r>
  <r>
    <x v="2"/>
    <x v="9"/>
    <x v="1"/>
    <x v="0"/>
    <x v="33"/>
  </r>
  <r>
    <x v="3"/>
    <x v="0"/>
    <x v="0"/>
    <x v="0"/>
    <x v="34"/>
  </r>
  <r>
    <x v="3"/>
    <x v="1"/>
    <x v="0"/>
    <x v="0"/>
    <x v="35"/>
  </r>
  <r>
    <x v="3"/>
    <x v="34"/>
    <x v="0"/>
    <x v="0"/>
    <x v="36"/>
  </r>
  <r>
    <x v="3"/>
    <x v="40"/>
    <x v="0"/>
    <x v="0"/>
    <x v="37"/>
  </r>
  <r>
    <x v="3"/>
    <x v="35"/>
    <x v="0"/>
    <x v="0"/>
    <x v="38"/>
  </r>
  <r>
    <x v="3"/>
    <x v="3"/>
    <x v="1"/>
    <x v="0"/>
    <x v="39"/>
  </r>
  <r>
    <x v="3"/>
    <x v="4"/>
    <x v="1"/>
    <x v="0"/>
    <x v="40"/>
  </r>
  <r>
    <x v="3"/>
    <x v="5"/>
    <x v="1"/>
    <x v="0"/>
    <x v="41"/>
  </r>
  <r>
    <x v="3"/>
    <x v="8"/>
    <x v="1"/>
    <x v="0"/>
    <x v="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n v="50"/>
    <n v="9"/>
    <n v="10.6"/>
  </r>
  <r>
    <x v="0"/>
    <n v="1954"/>
    <n v="50"/>
    <n v="9"/>
    <n v="8.1199999999999992"/>
  </r>
  <r>
    <x v="0"/>
    <n v="1963"/>
    <n v="60"/>
    <n v="9"/>
    <n v="12.6"/>
  </r>
  <r>
    <x v="0"/>
    <n v="1964"/>
    <n v="60"/>
    <n v="9"/>
    <n v="13.61"/>
  </r>
  <r>
    <x v="0"/>
    <n v="1965"/>
    <n v="60"/>
    <n v="9"/>
    <n v="10.95"/>
  </r>
  <r>
    <x v="0"/>
    <n v="1966"/>
    <n v="60"/>
    <n v="9"/>
    <n v="15.88"/>
  </r>
  <r>
    <x v="0"/>
    <n v="1967"/>
    <n v="60"/>
    <n v="9"/>
    <n v="20.22"/>
  </r>
  <r>
    <x v="0"/>
    <n v="1968"/>
    <n v="60"/>
    <n v="9"/>
    <n v="21.98"/>
  </r>
  <r>
    <x v="1"/>
    <n v="1964"/>
    <n v="60"/>
    <n v="9"/>
    <n v="289.86"/>
  </r>
  <r>
    <x v="1"/>
    <n v="1965"/>
    <n v="60"/>
    <n v="9"/>
    <n v="140.49"/>
  </r>
  <r>
    <x v="1"/>
    <n v="1966"/>
    <n v="60"/>
    <n v="9"/>
    <n v="265.55"/>
  </r>
  <r>
    <x v="1"/>
    <n v="1967"/>
    <n v="60"/>
    <n v="9"/>
    <n v="345.35"/>
  </r>
  <r>
    <x v="1"/>
    <n v="1969"/>
    <n v="60"/>
    <n v="9"/>
    <n v="559.57000000000005"/>
  </r>
  <r>
    <x v="1"/>
    <n v="1970"/>
    <n v="60"/>
    <n v="9"/>
    <n v="333.55"/>
  </r>
  <r>
    <x v="2"/>
    <n v="1953"/>
    <n v="50"/>
    <n v="9"/>
    <n v="15.08"/>
  </r>
  <r>
    <x v="2"/>
    <n v="1954"/>
    <n v="50"/>
    <n v="9"/>
    <n v="23.81"/>
  </r>
  <r>
    <x v="2"/>
    <n v="1955"/>
    <n v="50"/>
    <n v="9"/>
    <n v="32.24"/>
  </r>
  <r>
    <x v="2"/>
    <n v="1957"/>
    <n v="50"/>
    <n v="9"/>
    <n v="29.11"/>
  </r>
  <r>
    <x v="2"/>
    <n v="1958"/>
    <n v="50"/>
    <n v="9"/>
    <n v="24.46"/>
  </r>
  <r>
    <x v="2"/>
    <n v="1964"/>
    <n v="60"/>
    <n v="9"/>
    <n v="23.95"/>
  </r>
  <r>
    <x v="2"/>
    <n v="1965"/>
    <n v="60"/>
    <n v="9"/>
    <n v="43.8"/>
  </r>
  <r>
    <x v="2"/>
    <n v="1966"/>
    <n v="60"/>
    <n v="9"/>
    <n v="53.46"/>
  </r>
  <r>
    <x v="2"/>
    <n v="1969"/>
    <n v="60"/>
    <n v="9"/>
    <n v="26.8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750"/>
    <x v="0"/>
    <n v="7"/>
    <n v="0.1"/>
  </r>
  <r>
    <x v="2"/>
    <n v="1751"/>
    <x v="0"/>
    <n v="7"/>
    <n v="0.1"/>
  </r>
  <r>
    <x v="2"/>
    <n v="1752"/>
    <x v="0"/>
    <n v="7"/>
    <n v="0.1"/>
  </r>
  <r>
    <x v="2"/>
    <n v="1753"/>
    <x v="0"/>
    <n v="7"/>
    <n v="0.1"/>
  </r>
  <r>
    <x v="2"/>
    <n v="1754"/>
    <x v="0"/>
    <n v="7"/>
    <n v="0.1"/>
  </r>
  <r>
    <x v="2"/>
    <n v="1755"/>
    <x v="0"/>
    <n v="7"/>
    <n v="0.1"/>
  </r>
  <r>
    <x v="2"/>
    <n v="1756"/>
    <x v="0"/>
    <n v="7"/>
    <n v="0.1"/>
  </r>
  <r>
    <x v="2"/>
    <n v="1757"/>
    <x v="0"/>
    <n v="7"/>
    <n v="0.1"/>
  </r>
  <r>
    <x v="2"/>
    <n v="1758"/>
    <x v="0"/>
    <n v="7"/>
    <n v="0.1"/>
  </r>
  <r>
    <x v="2"/>
    <n v="1759"/>
    <x v="0"/>
    <n v="7"/>
    <n v="0.1"/>
  </r>
  <r>
    <x v="2"/>
    <n v="1760"/>
    <x v="1"/>
    <n v="7"/>
    <n v="0.1"/>
  </r>
  <r>
    <x v="2"/>
    <n v="1761"/>
    <x v="1"/>
    <n v="7"/>
    <n v="0.1"/>
  </r>
  <r>
    <x v="2"/>
    <n v="1762"/>
    <x v="1"/>
    <n v="7"/>
    <n v="0.1"/>
  </r>
  <r>
    <x v="2"/>
    <n v="1763"/>
    <x v="1"/>
    <n v="7"/>
    <n v="0.1"/>
  </r>
  <r>
    <x v="2"/>
    <n v="1764"/>
    <x v="1"/>
    <n v="7"/>
    <n v="0.1"/>
  </r>
  <r>
    <x v="2"/>
    <n v="1765"/>
    <x v="1"/>
    <n v="7"/>
    <n v="0.1"/>
  </r>
  <r>
    <x v="2"/>
    <n v="1766"/>
    <x v="1"/>
    <n v="7"/>
    <n v="0.1"/>
  </r>
  <r>
    <x v="2"/>
    <n v="1767"/>
    <x v="1"/>
    <n v="7"/>
    <n v="0.1"/>
  </r>
  <r>
    <x v="2"/>
    <n v="1768"/>
    <x v="1"/>
    <n v="7"/>
    <n v="0.1"/>
  </r>
  <r>
    <x v="2"/>
    <n v="1769"/>
    <x v="1"/>
    <n v="7"/>
    <n v="0.1"/>
  </r>
  <r>
    <x v="2"/>
    <n v="1770"/>
    <x v="1"/>
    <n v="7"/>
    <n v="0.1"/>
  </r>
  <r>
    <x v="2"/>
    <n v="1950"/>
    <x v="0"/>
    <n v="9"/>
    <n v="52.28"/>
  </r>
  <r>
    <x v="2"/>
    <n v="1951"/>
    <x v="0"/>
    <n v="9"/>
    <n v="47.61"/>
  </r>
  <r>
    <x v="2"/>
    <n v="1952"/>
    <x v="0"/>
    <n v="9"/>
    <n v="45.53"/>
  </r>
  <r>
    <x v="2"/>
    <n v="1953"/>
    <x v="0"/>
    <n v="9"/>
    <n v="43.52"/>
  </r>
  <r>
    <x v="2"/>
    <n v="1954"/>
    <x v="0"/>
    <n v="9"/>
    <n v="37.64"/>
  </r>
  <r>
    <x v="2"/>
    <n v="1955"/>
    <x v="0"/>
    <n v="9"/>
    <n v="47.22"/>
  </r>
  <r>
    <x v="2"/>
    <n v="1958"/>
    <x v="0"/>
    <n v="9"/>
    <n v="41.71"/>
  </r>
  <r>
    <x v="2"/>
    <n v="1959"/>
    <x v="0"/>
    <n v="9"/>
    <n v="28.12"/>
  </r>
  <r>
    <x v="2"/>
    <n v="1960"/>
    <x v="1"/>
    <n v="9"/>
    <n v="24.75"/>
  </r>
  <r>
    <x v="2"/>
    <n v="1961"/>
    <x v="1"/>
    <n v="9"/>
    <n v="20.2"/>
  </r>
  <r>
    <x v="2"/>
    <n v="1962"/>
    <x v="1"/>
    <n v="9"/>
    <n v="24.42"/>
  </r>
  <r>
    <x v="2"/>
    <n v="1963"/>
    <x v="1"/>
    <n v="9"/>
    <n v="39.299999999999997"/>
  </r>
  <r>
    <x v="2"/>
    <n v="1964"/>
    <x v="1"/>
    <n v="9"/>
    <n v="27.7"/>
  </r>
  <r>
    <x v="2"/>
    <n v="1965"/>
    <x v="1"/>
    <n v="9"/>
    <n v="27"/>
  </r>
  <r>
    <x v="2"/>
    <n v="1966"/>
    <x v="1"/>
    <n v="9"/>
    <n v="24.49"/>
  </r>
  <r>
    <x v="2"/>
    <n v="1967"/>
    <x v="1"/>
    <n v="9"/>
    <n v="20.98"/>
  </r>
  <r>
    <x v="2"/>
    <n v="1968"/>
    <x v="1"/>
    <n v="9"/>
    <n v="22.03"/>
  </r>
  <r>
    <x v="2"/>
    <n v="1969"/>
    <x v="1"/>
    <n v="9"/>
    <n v="25.96"/>
  </r>
  <r>
    <x v="2"/>
    <n v="1970"/>
    <x v="1"/>
    <n v="9"/>
    <n v="26.15"/>
  </r>
  <r>
    <x v="3"/>
    <n v="1953"/>
    <x v="0"/>
    <n v="9"/>
    <n v="15.08"/>
  </r>
  <r>
    <x v="3"/>
    <n v="1954"/>
    <x v="0"/>
    <n v="9"/>
    <n v="23.81"/>
  </r>
  <r>
    <x v="3"/>
    <n v="1955"/>
    <x v="0"/>
    <n v="9"/>
    <n v="32.24"/>
  </r>
  <r>
    <x v="3"/>
    <n v="1957"/>
    <x v="0"/>
    <n v="9"/>
    <n v="29.11"/>
  </r>
  <r>
    <x v="3"/>
    <n v="1958"/>
    <x v="0"/>
    <n v="9"/>
    <n v="24.46"/>
  </r>
  <r>
    <x v="3"/>
    <n v="1964"/>
    <x v="1"/>
    <n v="9"/>
    <n v="23.95"/>
  </r>
  <r>
    <x v="3"/>
    <n v="1965"/>
    <x v="1"/>
    <n v="9"/>
    <n v="43.8"/>
  </r>
  <r>
    <x v="3"/>
    <n v="1966"/>
    <x v="1"/>
    <n v="9"/>
    <n v="53.46"/>
  </r>
  <r>
    <x v="3"/>
    <n v="1969"/>
    <x v="1"/>
    <n v="9"/>
    <n v="2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878B1-E056-854D-A0C9-1A3363E0825C}"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3">
        <item x="0"/>
        <item x="1"/>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4B4320-F4B4-6B42-9046-B28D650E52D2}"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7" firstHeaderRow="1" firstDataRow="1" firstDataCol="1"/>
  <pivotFields count="5">
    <pivotField axis="axisRow" showAll="0">
      <items count="4">
        <item x="0"/>
        <item x="1"/>
        <item x="2"/>
        <item t="default"/>
      </items>
    </pivotField>
    <pivotField showAll="0"/>
    <pivotField showAll="0"/>
    <pivotField showAll="0"/>
    <pivotField dataField="1" showAll="0"/>
  </pivotFields>
  <rowFields count="1">
    <field x="0"/>
  </rowFields>
  <rowItems count="4">
    <i>
      <x/>
    </i>
    <i>
      <x v="1"/>
    </i>
    <i>
      <x v="2"/>
    </i>
    <i t="grand">
      <x/>
    </i>
  </rowItems>
  <colItems count="1">
    <i/>
  </colItems>
  <dataFields count="1">
    <dataField name="Max of Book titles per capita" fld="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4D8A4-4EA4-BA4E-9AA7-8EECCE49CF7F}"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9" firstHeaderRow="1" firstDataRow="2" firstDataCol="1"/>
  <pivotFields count="5">
    <pivotField axis="axisRow" showAll="0">
      <items count="5">
        <item x="0"/>
        <item x="1"/>
        <item x="2"/>
        <item x="3"/>
        <item t="default"/>
      </items>
    </pivotField>
    <pivotField dataField="1" showAll="0"/>
    <pivotField axis="axisCol" showAll="0">
      <items count="3">
        <item x="0"/>
        <item x="1"/>
        <item t="default"/>
      </items>
    </pivotField>
    <pivotField showAll="0"/>
    <pivotField showAll="0"/>
  </pivotFields>
  <rowFields count="1">
    <field x="0"/>
  </rowFields>
  <rowItems count="5">
    <i>
      <x/>
    </i>
    <i>
      <x v="1"/>
    </i>
    <i>
      <x v="2"/>
    </i>
    <i>
      <x v="3"/>
    </i>
    <i t="grand">
      <x/>
    </i>
  </rowItems>
  <colFields count="1">
    <field x="2"/>
  </colFields>
  <colItems count="3">
    <i>
      <x/>
    </i>
    <i>
      <x v="1"/>
    </i>
    <i t="grand">
      <x/>
    </i>
  </colItems>
  <dataFields count="1">
    <dataField name="Count of Year" fld="1"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2BD4B-64E2-EB4F-B735-CACDF62C371D}" name="PivotTable5" cacheId="3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O10" firstHeaderRow="1" firstDataRow="3" firstDataCol="1"/>
  <pivotFields count="5">
    <pivotField axis="axisRow" showAll="0">
      <items count="5">
        <item x="0"/>
        <item x="1"/>
        <item x="2"/>
        <item x="3"/>
        <item t="default"/>
      </items>
    </pivotField>
    <pivotField dataField="1" showAll="0">
      <items count="42">
        <item x="10"/>
        <item x="11"/>
        <item x="12"/>
        <item x="13"/>
        <item x="14"/>
        <item x="15"/>
        <item x="16"/>
        <item x="17"/>
        <item x="18"/>
        <item x="19"/>
        <item x="20"/>
        <item x="21"/>
        <item x="22"/>
        <item x="23"/>
        <item x="24"/>
        <item x="25"/>
        <item x="26"/>
        <item x="27"/>
        <item x="28"/>
        <item x="29"/>
        <item x="30"/>
        <item x="31"/>
        <item x="32"/>
        <item x="33"/>
        <item x="0"/>
        <item x="1"/>
        <item x="34"/>
        <item x="40"/>
        <item x="35"/>
        <item x="36"/>
        <item x="37"/>
        <item x="38"/>
        <item x="39"/>
        <item x="2"/>
        <item x="3"/>
        <item x="4"/>
        <item x="5"/>
        <item x="6"/>
        <item x="7"/>
        <item x="8"/>
        <item x="9"/>
        <item t="default"/>
      </items>
    </pivotField>
    <pivotField axis="axisCol" showAll="0">
      <items count="3">
        <item x="0"/>
        <item x="1"/>
        <item t="default"/>
      </items>
    </pivotField>
    <pivotField axis="axisCol" showAll="0">
      <items count="3">
        <item x="1"/>
        <item x="0"/>
        <item t="default"/>
      </items>
    </pivotField>
    <pivotField showAll="0"/>
  </pivotFields>
  <rowFields count="1">
    <field x="0"/>
  </rowFields>
  <rowItems count="5">
    <i>
      <x/>
    </i>
    <i>
      <x v="1"/>
    </i>
    <i>
      <x v="2"/>
    </i>
    <i>
      <x v="3"/>
    </i>
    <i t="grand">
      <x/>
    </i>
  </rowItems>
  <colFields count="2">
    <field x="3"/>
    <field x="2"/>
  </colFields>
  <colItems count="7">
    <i>
      <x/>
      <x/>
    </i>
    <i r="1">
      <x v="1"/>
    </i>
    <i t="default">
      <x/>
    </i>
    <i>
      <x v="1"/>
      <x/>
    </i>
    <i r="1">
      <x v="1"/>
    </i>
    <i t="default">
      <x v="1"/>
    </i>
    <i t="grand">
      <x/>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3"/>
  <sheetViews>
    <sheetView workbookViewId="0"/>
  </sheetViews>
  <sheetFormatPr baseColWidth="10" defaultRowHeight="23" x14ac:dyDescent="0.25"/>
  <cols>
    <col min="1" max="1" width="10.83203125" style="2"/>
    <col min="2" max="2" width="10.83203125" style="2" customWidth="1"/>
    <col min="3" max="3" width="129.1640625" style="2" customWidth="1"/>
    <col min="4" max="5" width="10.83203125" style="2"/>
    <col min="6" max="6" width="39" style="2" customWidth="1"/>
    <col min="7" max="16384" width="10.83203125" style="2"/>
  </cols>
  <sheetData>
    <row r="1" spans="2:9" s="1" customFormat="1" ht="16" x14ac:dyDescent="0.2"/>
    <row r="2" spans="2:9" s="1" customFormat="1" ht="30" x14ac:dyDescent="0.3">
      <c r="B2" s="3" t="s">
        <v>0</v>
      </c>
    </row>
    <row r="3" spans="2:9" s="1" customFormat="1" ht="25" x14ac:dyDescent="0.25">
      <c r="B3" s="4" t="s">
        <v>3</v>
      </c>
    </row>
    <row r="4" spans="2:9" s="1" customFormat="1" ht="16" x14ac:dyDescent="0.2"/>
    <row r="5" spans="2:9" x14ac:dyDescent="0.25">
      <c r="B5" s="2" t="s">
        <v>2</v>
      </c>
    </row>
    <row r="6" spans="2:9" x14ac:dyDescent="0.25">
      <c r="B6" s="2" t="s">
        <v>25</v>
      </c>
    </row>
    <row r="7" spans="2:9" x14ac:dyDescent="0.25">
      <c r="B7" s="2" t="s">
        <v>4</v>
      </c>
      <c r="F7" s="6"/>
    </row>
    <row r="8" spans="2:9" x14ac:dyDescent="0.25">
      <c r="B8" s="2" t="s">
        <v>5</v>
      </c>
    </row>
    <row r="10" spans="2:9" ht="25" x14ac:dyDescent="0.25">
      <c r="B10" s="4" t="s">
        <v>1</v>
      </c>
    </row>
    <row r="11" spans="2:9" x14ac:dyDescent="0.25">
      <c r="B11" s="7">
        <v>1</v>
      </c>
      <c r="C11" s="21" t="str">
        <f>IF('Exercise 1'!A3&lt;&gt;"Correct!","Incomplete","Complete!")</f>
        <v>Complete!</v>
      </c>
      <c r="D11" s="21"/>
      <c r="E11" s="21"/>
      <c r="F11" s="21"/>
      <c r="G11" s="21"/>
      <c r="H11" s="21"/>
      <c r="I11" s="21"/>
    </row>
    <row r="12" spans="2:9" x14ac:dyDescent="0.25">
      <c r="B12" s="2">
        <v>2</v>
      </c>
      <c r="C12" s="2" t="str">
        <f>IF('Exercise 2'!A3&lt;&gt;"Correct!","Incomplete","Complete!")</f>
        <v>Complete!</v>
      </c>
    </row>
    <row r="13" spans="2:9" x14ac:dyDescent="0.25">
      <c r="B13" s="2">
        <v>3</v>
      </c>
      <c r="C13" s="2" t="str">
        <f>IF('Exercise 3'!A3&lt;&gt;"Correct!","Incomplete","Complete!")</f>
        <v>Complete!</v>
      </c>
    </row>
    <row r="14" spans="2:9" x14ac:dyDescent="0.25">
      <c r="B14" s="7">
        <v>4</v>
      </c>
      <c r="C14" s="5" t="str">
        <f>IF('Exercise 4'!A3&lt;&gt;"Correct!","Incomplete","Complete!")</f>
        <v>Complete!</v>
      </c>
    </row>
    <row r="16" spans="2:9" x14ac:dyDescent="0.25">
      <c r="B16" s="20" t="s">
        <v>27</v>
      </c>
    </row>
    <row r="17" spans="2:3" x14ac:dyDescent="0.25">
      <c r="B17" s="7"/>
      <c r="C17" s="5"/>
    </row>
    <row r="20" spans="2:3" x14ac:dyDescent="0.25">
      <c r="B20" s="7"/>
      <c r="C20" s="5"/>
    </row>
    <row r="23" spans="2:3" x14ac:dyDescent="0.25">
      <c r="B23" s="7"/>
      <c r="C23" s="5"/>
    </row>
  </sheetData>
  <mergeCells count="1">
    <mergeCell ref="C11:I11"/>
  </mergeCells>
  <conditionalFormatting sqref="C11">
    <cfRule type="containsText" dxfId="17" priority="1" operator="containsText" text="Correct">
      <formula>NOT(ISERROR(SEARCH("Correct",C11)))</formula>
    </cfRule>
    <cfRule type="containsText" dxfId="16" priority="2" operator="containsText" text="Not quite">
      <formula>NOT(ISERROR(SEARCH("Not quite",C11)))</formula>
    </cfRule>
  </conditionalFormatting>
  <conditionalFormatting sqref="C14 C17">
    <cfRule type="containsText" dxfId="15" priority="17" operator="containsText" text="Correct">
      <formula>NOT(ISERROR(SEARCH("Correct",C14)))</formula>
    </cfRule>
    <cfRule type="containsText" dxfId="14" priority="18" operator="containsText" text="Not quite">
      <formula>NOT(ISERROR(SEARCH("Not quite",C14)))</formula>
    </cfRule>
  </conditionalFormatting>
  <conditionalFormatting sqref="C20">
    <cfRule type="containsText" dxfId="13" priority="5" operator="containsText" text="Correct">
      <formula>NOT(ISERROR(SEARCH("Correct",C20)))</formula>
    </cfRule>
    <cfRule type="containsText" dxfId="12" priority="6" operator="containsText" text="Not quite">
      <formula>NOT(ISERROR(SEARCH("Not quite",C20)))</formula>
    </cfRule>
  </conditionalFormatting>
  <conditionalFormatting sqref="C23">
    <cfRule type="containsText" dxfId="11" priority="3" operator="containsText" text="Correct">
      <formula>NOT(ISERROR(SEARCH("Correct",C23)))</formula>
    </cfRule>
    <cfRule type="containsText" dxfId="10" priority="4" operator="containsText" text="Not quite">
      <formula>NOT(ISERROR(SEARCH("Not quite",C23)))</formula>
    </cfRule>
  </conditionalFormatting>
  <hyperlinks>
    <hyperlink ref="B16" r:id="rId1" xr:uid="{7362B099-4E0B-6244-936E-A6DCDBC14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K30"/>
  <sheetViews>
    <sheetView showGridLines="0" topLeftCell="A2" zoomScale="107" workbookViewId="0">
      <selection activeCell="H3" sqref="H3"/>
    </sheetView>
  </sheetViews>
  <sheetFormatPr baseColWidth="10" defaultRowHeight="16" x14ac:dyDescent="0.2"/>
  <cols>
    <col min="1" max="4" width="10.83203125" style="8"/>
    <col min="5" max="5" width="18.6640625" style="8" bestFit="1" customWidth="1"/>
    <col min="6" max="6" width="10.83203125" style="8"/>
    <col min="7" max="7" width="30.1640625" style="8" customWidth="1"/>
    <col min="8" max="8" width="28.6640625" style="11" bestFit="1" customWidth="1"/>
    <col min="9" max="9" width="15.5" style="11" bestFit="1" customWidth="1"/>
    <col min="10" max="11" width="12.6640625" style="11" bestFit="1" customWidth="1"/>
    <col min="12" max="12" width="12.1640625" style="11" bestFit="1" customWidth="1"/>
    <col min="13" max="16384" width="10.83203125" style="11"/>
  </cols>
  <sheetData>
    <row r="1" spans="1:11" s="12" customFormat="1" ht="47" customHeight="1" x14ac:dyDescent="0.2">
      <c r="A1" s="10" t="s">
        <v>6</v>
      </c>
    </row>
    <row r="2" spans="1:11" s="8" customFormat="1" ht="103" customHeight="1" x14ac:dyDescent="0.2">
      <c r="A2" s="22" t="s">
        <v>26</v>
      </c>
      <c r="B2" s="22"/>
      <c r="C2" s="22"/>
      <c r="D2" s="22"/>
      <c r="E2" s="22"/>
      <c r="F2" s="22"/>
      <c r="H2" s="10"/>
    </row>
    <row r="3" spans="1:11" ht="20" customHeight="1" x14ac:dyDescent="0.25">
      <c r="A3" s="23" t="str" cm="1">
        <f t="array" ref="A3">IF(ISBLANK(H3),"place the upper-left cell of your pivot table here --&gt;",IF(OR(SUMPRODUCT((I5:J7='Exercise 1 Checks'!A1:B3)-1)=0,SUMPRODUCT((I5:K6='Exercise 1 Checks'!D1:F2)-1)=0),"Correct!","Not quite! Did you remember to use an average instead of a sum?"))</f>
        <v>Correct!</v>
      </c>
      <c r="B3" s="23"/>
      <c r="C3" s="23"/>
      <c r="D3" s="23"/>
      <c r="E3" s="23"/>
      <c r="F3" s="23"/>
      <c r="G3" s="23"/>
      <c r="H3" s="13" t="s">
        <v>29</v>
      </c>
      <c r="I3" s="13" t="s">
        <v>17</v>
      </c>
      <c r="J3"/>
      <c r="K3"/>
    </row>
    <row r="4" spans="1:11" ht="20" x14ac:dyDescent="0.2">
      <c r="A4" s="9"/>
      <c r="H4" s="13" t="s">
        <v>15</v>
      </c>
      <c r="I4">
        <v>50</v>
      </c>
      <c r="J4">
        <v>60</v>
      </c>
      <c r="K4" t="s">
        <v>16</v>
      </c>
    </row>
    <row r="5" spans="1:11" x14ac:dyDescent="0.2">
      <c r="A5" t="s">
        <v>7</v>
      </c>
      <c r="B5" t="s">
        <v>8</v>
      </c>
      <c r="C5" t="s">
        <v>9</v>
      </c>
      <c r="D5" t="s">
        <v>10</v>
      </c>
      <c r="E5" t="s">
        <v>11</v>
      </c>
      <c r="H5" s="14" t="s">
        <v>12</v>
      </c>
      <c r="I5" s="26">
        <v>9.36</v>
      </c>
      <c r="J5" s="26">
        <v>15.873333333333333</v>
      </c>
      <c r="K5" s="26">
        <v>14.244999999999999</v>
      </c>
    </row>
    <row r="6" spans="1:11" x14ac:dyDescent="0.2">
      <c r="A6" t="s">
        <v>12</v>
      </c>
      <c r="B6">
        <v>1953</v>
      </c>
      <c r="C6">
        <v>50</v>
      </c>
      <c r="D6">
        <v>9</v>
      </c>
      <c r="E6">
        <v>10.6</v>
      </c>
      <c r="H6" s="14" t="s">
        <v>13</v>
      </c>
      <c r="I6" s="26"/>
      <c r="J6" s="26">
        <v>322.39500000000004</v>
      </c>
      <c r="K6" s="26">
        <v>322.39500000000004</v>
      </c>
    </row>
    <row r="7" spans="1:11" x14ac:dyDescent="0.2">
      <c r="A7" t="s">
        <v>12</v>
      </c>
      <c r="B7">
        <v>1954</v>
      </c>
      <c r="C7">
        <v>50</v>
      </c>
      <c r="D7">
        <v>9</v>
      </c>
      <c r="E7">
        <v>8.1199999999999992</v>
      </c>
      <c r="H7" s="14" t="s">
        <v>14</v>
      </c>
      <c r="I7" s="26">
        <v>24.939999999999998</v>
      </c>
      <c r="J7" s="26">
        <v>37.0075</v>
      </c>
      <c r="K7" s="26">
        <v>30.303333333333335</v>
      </c>
    </row>
    <row r="8" spans="1:11" x14ac:dyDescent="0.2">
      <c r="A8" t="s">
        <v>12</v>
      </c>
      <c r="B8">
        <v>1963</v>
      </c>
      <c r="C8">
        <v>60</v>
      </c>
      <c r="D8">
        <v>9</v>
      </c>
      <c r="E8">
        <v>12.6</v>
      </c>
      <c r="H8" s="14" t="s">
        <v>16</v>
      </c>
      <c r="I8" s="26">
        <v>20.488571428571426</v>
      </c>
      <c r="J8" s="26">
        <v>136.10250000000005</v>
      </c>
      <c r="K8" s="26">
        <v>100.91565217391305</v>
      </c>
    </row>
    <row r="9" spans="1:11" x14ac:dyDescent="0.2">
      <c r="A9" t="s">
        <v>12</v>
      </c>
      <c r="B9">
        <v>1964</v>
      </c>
      <c r="C9">
        <v>60</v>
      </c>
      <c r="D9">
        <v>9</v>
      </c>
      <c r="E9">
        <v>13.61</v>
      </c>
      <c r="H9"/>
      <c r="I9"/>
      <c r="J9"/>
    </row>
    <row r="10" spans="1:11" x14ac:dyDescent="0.2">
      <c r="A10" t="s">
        <v>12</v>
      </c>
      <c r="B10">
        <v>1965</v>
      </c>
      <c r="C10">
        <v>60</v>
      </c>
      <c r="D10">
        <v>9</v>
      </c>
      <c r="E10">
        <v>10.95</v>
      </c>
      <c r="H10"/>
      <c r="I10"/>
      <c r="J10"/>
    </row>
    <row r="11" spans="1:11" x14ac:dyDescent="0.2">
      <c r="A11" t="s">
        <v>12</v>
      </c>
      <c r="B11">
        <v>1966</v>
      </c>
      <c r="C11">
        <v>60</v>
      </c>
      <c r="D11">
        <v>9</v>
      </c>
      <c r="E11">
        <v>15.88</v>
      </c>
      <c r="H11"/>
      <c r="I11"/>
      <c r="J11"/>
    </row>
    <row r="12" spans="1:11" x14ac:dyDescent="0.2">
      <c r="A12" t="s">
        <v>12</v>
      </c>
      <c r="B12">
        <v>1967</v>
      </c>
      <c r="C12">
        <v>60</v>
      </c>
      <c r="D12">
        <v>9</v>
      </c>
      <c r="E12">
        <v>20.22</v>
      </c>
      <c r="H12"/>
      <c r="I12"/>
      <c r="J12"/>
    </row>
    <row r="13" spans="1:11" x14ac:dyDescent="0.2">
      <c r="A13" t="s">
        <v>12</v>
      </c>
      <c r="B13">
        <v>1968</v>
      </c>
      <c r="C13">
        <v>60</v>
      </c>
      <c r="D13">
        <v>9</v>
      </c>
      <c r="E13">
        <v>21.98</v>
      </c>
      <c r="H13"/>
      <c r="I13"/>
      <c r="J13"/>
    </row>
    <row r="14" spans="1:11" x14ac:dyDescent="0.2">
      <c r="A14" t="s">
        <v>13</v>
      </c>
      <c r="B14">
        <v>1964</v>
      </c>
      <c r="C14">
        <v>60</v>
      </c>
      <c r="D14">
        <v>9</v>
      </c>
      <c r="E14">
        <v>289.86</v>
      </c>
      <c r="H14"/>
      <c r="I14"/>
      <c r="J14"/>
    </row>
    <row r="15" spans="1:11" x14ac:dyDescent="0.2">
      <c r="A15" t="s">
        <v>13</v>
      </c>
      <c r="B15">
        <v>1965</v>
      </c>
      <c r="C15">
        <v>60</v>
      </c>
      <c r="D15">
        <v>9</v>
      </c>
      <c r="E15">
        <v>140.49</v>
      </c>
      <c r="H15"/>
      <c r="I15"/>
      <c r="J15"/>
    </row>
    <row r="16" spans="1:11" x14ac:dyDescent="0.2">
      <c r="A16" t="s">
        <v>13</v>
      </c>
      <c r="B16">
        <v>1966</v>
      </c>
      <c r="C16">
        <v>60</v>
      </c>
      <c r="D16">
        <v>9</v>
      </c>
      <c r="E16">
        <v>265.55</v>
      </c>
      <c r="H16"/>
      <c r="I16"/>
      <c r="J16"/>
    </row>
    <row r="17" spans="1:10" x14ac:dyDescent="0.2">
      <c r="A17" t="s">
        <v>13</v>
      </c>
      <c r="B17">
        <v>1967</v>
      </c>
      <c r="C17">
        <v>60</v>
      </c>
      <c r="D17">
        <v>9</v>
      </c>
      <c r="E17">
        <v>345.35</v>
      </c>
      <c r="H17"/>
      <c r="I17"/>
      <c r="J17"/>
    </row>
    <row r="18" spans="1:10" x14ac:dyDescent="0.2">
      <c r="A18" t="s">
        <v>13</v>
      </c>
      <c r="B18">
        <v>1969</v>
      </c>
      <c r="C18">
        <v>60</v>
      </c>
      <c r="D18">
        <v>9</v>
      </c>
      <c r="E18">
        <v>559.57000000000005</v>
      </c>
      <c r="H18"/>
      <c r="I18"/>
      <c r="J18"/>
    </row>
    <row r="19" spans="1:10" x14ac:dyDescent="0.2">
      <c r="A19" t="s">
        <v>13</v>
      </c>
      <c r="B19">
        <v>1970</v>
      </c>
      <c r="C19">
        <v>60</v>
      </c>
      <c r="D19">
        <v>9</v>
      </c>
      <c r="E19">
        <v>333.55</v>
      </c>
      <c r="H19"/>
      <c r="I19"/>
      <c r="J19"/>
    </row>
    <row r="20" spans="1:10" x14ac:dyDescent="0.2">
      <c r="A20" t="s">
        <v>14</v>
      </c>
      <c r="B20">
        <v>1953</v>
      </c>
      <c r="C20">
        <v>50</v>
      </c>
      <c r="D20">
        <v>9</v>
      </c>
      <c r="E20">
        <v>15.08</v>
      </c>
      <c r="H20"/>
      <c r="I20"/>
      <c r="J20"/>
    </row>
    <row r="21" spans="1:10" x14ac:dyDescent="0.2">
      <c r="A21" t="s">
        <v>14</v>
      </c>
      <c r="B21">
        <v>1954</v>
      </c>
      <c r="C21">
        <v>50</v>
      </c>
      <c r="D21">
        <v>9</v>
      </c>
      <c r="E21">
        <v>23.81</v>
      </c>
    </row>
    <row r="22" spans="1:10" x14ac:dyDescent="0.2">
      <c r="A22" t="s">
        <v>14</v>
      </c>
      <c r="B22">
        <v>1955</v>
      </c>
      <c r="C22">
        <v>50</v>
      </c>
      <c r="D22">
        <v>9</v>
      </c>
      <c r="E22">
        <v>32.24</v>
      </c>
    </row>
    <row r="23" spans="1:10" x14ac:dyDescent="0.2">
      <c r="A23" t="s">
        <v>14</v>
      </c>
      <c r="B23">
        <v>1957</v>
      </c>
      <c r="C23">
        <v>50</v>
      </c>
      <c r="D23">
        <v>9</v>
      </c>
      <c r="E23">
        <v>29.11</v>
      </c>
    </row>
    <row r="24" spans="1:10" x14ac:dyDescent="0.2">
      <c r="A24" t="s">
        <v>14</v>
      </c>
      <c r="B24">
        <v>1958</v>
      </c>
      <c r="C24">
        <v>50</v>
      </c>
      <c r="D24">
        <v>9</v>
      </c>
      <c r="E24">
        <v>24.46</v>
      </c>
    </row>
    <row r="25" spans="1:10" x14ac:dyDescent="0.2">
      <c r="A25" t="s">
        <v>14</v>
      </c>
      <c r="B25">
        <v>1964</v>
      </c>
      <c r="C25">
        <v>60</v>
      </c>
      <c r="D25">
        <v>9</v>
      </c>
      <c r="E25">
        <v>23.95</v>
      </c>
    </row>
    <row r="26" spans="1:10" x14ac:dyDescent="0.2">
      <c r="A26" t="s">
        <v>14</v>
      </c>
      <c r="B26">
        <v>1965</v>
      </c>
      <c r="C26">
        <v>60</v>
      </c>
      <c r="D26">
        <v>9</v>
      </c>
      <c r="E26">
        <v>43.8</v>
      </c>
    </row>
    <row r="27" spans="1:10" x14ac:dyDescent="0.2">
      <c r="A27" t="s">
        <v>14</v>
      </c>
      <c r="B27">
        <v>1966</v>
      </c>
      <c r="C27">
        <v>60</v>
      </c>
      <c r="D27">
        <v>9</v>
      </c>
      <c r="E27">
        <v>53.46</v>
      </c>
    </row>
    <row r="28" spans="1:10" x14ac:dyDescent="0.2">
      <c r="A28" t="s">
        <v>14</v>
      </c>
      <c r="B28">
        <v>1969</v>
      </c>
      <c r="C28">
        <v>60</v>
      </c>
      <c r="D28">
        <v>9</v>
      </c>
      <c r="E28">
        <v>26.82</v>
      </c>
    </row>
    <row r="30" spans="1:10" ht="46" customHeight="1" x14ac:dyDescent="0.2"/>
  </sheetData>
  <mergeCells count="2">
    <mergeCell ref="A2:F2"/>
    <mergeCell ref="A3:G3"/>
  </mergeCells>
  <conditionalFormatting sqref="A3">
    <cfRule type="containsText" dxfId="9" priority="1" operator="containsText" text="Correct">
      <formula>NOT(ISERROR(SEARCH("Correct",A3)))</formula>
    </cfRule>
    <cfRule type="containsText" dxfId="8"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32"/>
  <sheetViews>
    <sheetView showGridLines="0" topLeftCell="A2" zoomScale="118" workbookViewId="0">
      <selection activeCell="H3" sqref="H3"/>
    </sheetView>
  </sheetViews>
  <sheetFormatPr baseColWidth="10" defaultRowHeight="16" x14ac:dyDescent="0.2"/>
  <cols>
    <col min="1" max="4" width="10.83203125" style="8"/>
    <col min="5" max="5" width="18.6640625" style="8" bestFit="1" customWidth="1"/>
    <col min="6" max="6" width="10.83203125" style="8"/>
    <col min="7" max="7" width="32.33203125" style="8" customWidth="1"/>
    <col min="8" max="8" width="13" style="11" bestFit="1" customWidth="1"/>
    <col min="9" max="9" width="25.33203125" style="11" bestFit="1" customWidth="1"/>
    <col min="10" max="10" width="7.1640625" style="11" bestFit="1" customWidth="1"/>
    <col min="11" max="11" width="7" style="11" bestFit="1" customWidth="1"/>
    <col min="12" max="12" width="10.83203125" style="11" bestFit="1" customWidth="1"/>
    <col min="13" max="16384" width="10.83203125" style="11"/>
  </cols>
  <sheetData>
    <row r="1" spans="1:12" s="12" customFormat="1" ht="47" customHeight="1" x14ac:dyDescent="0.2">
      <c r="A1" s="10" t="s">
        <v>18</v>
      </c>
    </row>
    <row r="2" spans="1:12" s="8" customFormat="1" ht="103" customHeight="1" x14ac:dyDescent="0.2">
      <c r="A2" s="22" t="s">
        <v>28</v>
      </c>
      <c r="B2" s="22"/>
      <c r="C2" s="22"/>
      <c r="D2" s="22"/>
      <c r="E2" s="22"/>
      <c r="F2" s="22"/>
      <c r="H2" s="10"/>
    </row>
    <row r="3" spans="1:12" ht="20" customHeight="1" x14ac:dyDescent="0.25">
      <c r="A3" s="23" t="str" cm="1">
        <f t="array" ref="A3">IF(ISBLANK(I3),"place the upper-left cell of your pivot table here --&gt;",IF(OR(SUMPRODUCT((H4:I6='Exercise 2 checks'!A1:B3)-1)=0,SUMPRODUCT((I5:K5='Exercise 2 checks'!D2:F2)-1)=0),"Correct!","Not quite! Remember to use the maximum summary method."))</f>
        <v>Correct!</v>
      </c>
      <c r="B3" s="23"/>
      <c r="C3" s="23"/>
      <c r="D3" s="23"/>
      <c r="E3" s="23"/>
      <c r="F3" s="23"/>
      <c r="G3" s="23"/>
      <c r="H3" s="13" t="s">
        <v>15</v>
      </c>
      <c r="I3" t="s">
        <v>30</v>
      </c>
      <c r="J3"/>
      <c r="K3"/>
      <c r="L3"/>
    </row>
    <row r="4" spans="1:12" ht="20" x14ac:dyDescent="0.2">
      <c r="A4" s="9"/>
      <c r="H4" s="14" t="s">
        <v>12</v>
      </c>
      <c r="I4" s="26">
        <v>21.98</v>
      </c>
      <c r="J4"/>
      <c r="K4"/>
      <c r="L4"/>
    </row>
    <row r="5" spans="1:12" x14ac:dyDescent="0.2">
      <c r="A5" t="s">
        <v>7</v>
      </c>
      <c r="B5" t="s">
        <v>8</v>
      </c>
      <c r="C5" t="s">
        <v>9</v>
      </c>
      <c r="D5" t="s">
        <v>10</v>
      </c>
      <c r="E5" t="s">
        <v>11</v>
      </c>
      <c r="H5" s="14" t="s">
        <v>13</v>
      </c>
      <c r="I5" s="26">
        <v>559.57000000000005</v>
      </c>
      <c r="J5"/>
      <c r="K5"/>
      <c r="L5"/>
    </row>
    <row r="6" spans="1:12" x14ac:dyDescent="0.2">
      <c r="A6" t="s">
        <v>12</v>
      </c>
      <c r="B6">
        <v>1953</v>
      </c>
      <c r="C6">
        <v>50</v>
      </c>
      <c r="D6">
        <v>9</v>
      </c>
      <c r="E6">
        <v>10.6</v>
      </c>
      <c r="H6" s="14" t="s">
        <v>14</v>
      </c>
      <c r="I6" s="26">
        <v>53.46</v>
      </c>
      <c r="J6"/>
      <c r="K6"/>
    </row>
    <row r="7" spans="1:12" x14ac:dyDescent="0.2">
      <c r="A7" t="s">
        <v>12</v>
      </c>
      <c r="B7">
        <v>1954</v>
      </c>
      <c r="C7">
        <v>50</v>
      </c>
      <c r="D7">
        <v>9</v>
      </c>
      <c r="E7">
        <v>8.1199999999999992</v>
      </c>
      <c r="H7" s="14" t="s">
        <v>16</v>
      </c>
      <c r="I7" s="26">
        <v>559.57000000000005</v>
      </c>
      <c r="J7"/>
      <c r="K7"/>
    </row>
    <row r="8" spans="1:12" x14ac:dyDescent="0.2">
      <c r="A8" t="s">
        <v>12</v>
      </c>
      <c r="B8">
        <v>1963</v>
      </c>
      <c r="C8">
        <v>60</v>
      </c>
      <c r="D8">
        <v>9</v>
      </c>
      <c r="E8">
        <v>12.6</v>
      </c>
      <c r="H8"/>
      <c r="I8"/>
      <c r="J8"/>
      <c r="K8"/>
    </row>
    <row r="9" spans="1:12" x14ac:dyDescent="0.2">
      <c r="A9" t="s">
        <v>12</v>
      </c>
      <c r="B9">
        <v>1964</v>
      </c>
      <c r="C9">
        <v>60</v>
      </c>
      <c r="D9">
        <v>9</v>
      </c>
      <c r="E9">
        <v>13.61</v>
      </c>
      <c r="H9"/>
      <c r="I9"/>
      <c r="J9"/>
    </row>
    <row r="10" spans="1:12" x14ac:dyDescent="0.2">
      <c r="A10" t="s">
        <v>12</v>
      </c>
      <c r="B10">
        <v>1965</v>
      </c>
      <c r="C10">
        <v>60</v>
      </c>
      <c r="D10">
        <v>9</v>
      </c>
      <c r="E10">
        <v>10.95</v>
      </c>
      <c r="H10"/>
      <c r="I10"/>
      <c r="J10"/>
    </row>
    <row r="11" spans="1:12" x14ac:dyDescent="0.2">
      <c r="A11" t="s">
        <v>12</v>
      </c>
      <c r="B11">
        <v>1966</v>
      </c>
      <c r="C11">
        <v>60</v>
      </c>
      <c r="D11">
        <v>9</v>
      </c>
      <c r="E11">
        <v>15.88</v>
      </c>
      <c r="H11"/>
      <c r="I11"/>
      <c r="J11"/>
    </row>
    <row r="12" spans="1:12" x14ac:dyDescent="0.2">
      <c r="A12" t="s">
        <v>12</v>
      </c>
      <c r="B12">
        <v>1967</v>
      </c>
      <c r="C12">
        <v>60</v>
      </c>
      <c r="D12">
        <v>9</v>
      </c>
      <c r="E12">
        <v>20.22</v>
      </c>
      <c r="H12"/>
      <c r="I12"/>
      <c r="J12"/>
    </row>
    <row r="13" spans="1:12" x14ac:dyDescent="0.2">
      <c r="A13" t="s">
        <v>12</v>
      </c>
      <c r="B13">
        <v>1968</v>
      </c>
      <c r="C13">
        <v>60</v>
      </c>
      <c r="D13">
        <v>9</v>
      </c>
      <c r="E13">
        <v>21.98</v>
      </c>
      <c r="H13"/>
      <c r="I13"/>
      <c r="J13"/>
    </row>
    <row r="14" spans="1:12" x14ac:dyDescent="0.2">
      <c r="A14" t="s">
        <v>13</v>
      </c>
      <c r="B14">
        <v>1964</v>
      </c>
      <c r="C14">
        <v>60</v>
      </c>
      <c r="D14">
        <v>9</v>
      </c>
      <c r="E14">
        <v>289.86</v>
      </c>
      <c r="H14"/>
      <c r="I14"/>
      <c r="J14"/>
    </row>
    <row r="15" spans="1:12" x14ac:dyDescent="0.2">
      <c r="A15" t="s">
        <v>13</v>
      </c>
      <c r="B15">
        <v>1965</v>
      </c>
      <c r="C15">
        <v>60</v>
      </c>
      <c r="D15">
        <v>9</v>
      </c>
      <c r="E15">
        <v>140.49</v>
      </c>
      <c r="H15"/>
      <c r="I15"/>
      <c r="J15"/>
    </row>
    <row r="16" spans="1:12" x14ac:dyDescent="0.2">
      <c r="A16" t="s">
        <v>13</v>
      </c>
      <c r="B16">
        <v>1966</v>
      </c>
      <c r="C16">
        <v>60</v>
      </c>
      <c r="D16">
        <v>9</v>
      </c>
      <c r="E16">
        <v>265.55</v>
      </c>
      <c r="H16"/>
      <c r="I16"/>
      <c r="J16"/>
    </row>
    <row r="17" spans="1:10" x14ac:dyDescent="0.2">
      <c r="A17" t="s">
        <v>13</v>
      </c>
      <c r="B17">
        <v>1967</v>
      </c>
      <c r="C17">
        <v>60</v>
      </c>
      <c r="D17">
        <v>9</v>
      </c>
      <c r="E17">
        <v>345.35</v>
      </c>
      <c r="H17"/>
      <c r="I17"/>
      <c r="J17"/>
    </row>
    <row r="18" spans="1:10" x14ac:dyDescent="0.2">
      <c r="A18" t="s">
        <v>13</v>
      </c>
      <c r="B18">
        <v>1969</v>
      </c>
      <c r="C18">
        <v>60</v>
      </c>
      <c r="D18">
        <v>9</v>
      </c>
      <c r="E18">
        <v>559.57000000000005</v>
      </c>
      <c r="H18"/>
      <c r="I18"/>
      <c r="J18"/>
    </row>
    <row r="19" spans="1:10" x14ac:dyDescent="0.2">
      <c r="A19" t="s">
        <v>13</v>
      </c>
      <c r="B19">
        <v>1970</v>
      </c>
      <c r="C19">
        <v>60</v>
      </c>
      <c r="D19">
        <v>9</v>
      </c>
      <c r="E19">
        <v>333.55</v>
      </c>
      <c r="H19"/>
      <c r="I19"/>
      <c r="J19"/>
    </row>
    <row r="20" spans="1:10" x14ac:dyDescent="0.2">
      <c r="A20" t="s">
        <v>14</v>
      </c>
      <c r="B20">
        <v>1953</v>
      </c>
      <c r="C20">
        <v>50</v>
      </c>
      <c r="D20">
        <v>9</v>
      </c>
      <c r="E20">
        <v>15.08</v>
      </c>
      <c r="H20"/>
      <c r="I20"/>
      <c r="J20"/>
    </row>
    <row r="21" spans="1:10" x14ac:dyDescent="0.2">
      <c r="A21" t="s">
        <v>14</v>
      </c>
      <c r="B21">
        <v>1954</v>
      </c>
      <c r="C21">
        <v>50</v>
      </c>
      <c r="D21">
        <v>9</v>
      </c>
      <c r="E21">
        <v>23.81</v>
      </c>
    </row>
    <row r="22" spans="1:10" x14ac:dyDescent="0.2">
      <c r="A22" t="s">
        <v>14</v>
      </c>
      <c r="B22">
        <v>1955</v>
      </c>
      <c r="C22">
        <v>50</v>
      </c>
      <c r="D22">
        <v>9</v>
      </c>
      <c r="E22">
        <v>32.24</v>
      </c>
    </row>
    <row r="23" spans="1:10" x14ac:dyDescent="0.2">
      <c r="A23" t="s">
        <v>14</v>
      </c>
      <c r="B23">
        <v>1957</v>
      </c>
      <c r="C23">
        <v>50</v>
      </c>
      <c r="D23">
        <v>9</v>
      </c>
      <c r="E23">
        <v>29.11</v>
      </c>
    </row>
    <row r="24" spans="1:10" x14ac:dyDescent="0.2">
      <c r="A24" t="s">
        <v>14</v>
      </c>
      <c r="B24">
        <v>1958</v>
      </c>
      <c r="C24">
        <v>50</v>
      </c>
      <c r="D24">
        <v>9</v>
      </c>
      <c r="E24">
        <v>24.46</v>
      </c>
    </row>
    <row r="25" spans="1:10" x14ac:dyDescent="0.2">
      <c r="A25" t="s">
        <v>14</v>
      </c>
      <c r="B25">
        <v>1964</v>
      </c>
      <c r="C25">
        <v>60</v>
      </c>
      <c r="D25">
        <v>9</v>
      </c>
      <c r="E25">
        <v>23.95</v>
      </c>
    </row>
    <row r="26" spans="1:10" x14ac:dyDescent="0.2">
      <c r="A26" t="s">
        <v>14</v>
      </c>
      <c r="B26">
        <v>1965</v>
      </c>
      <c r="C26">
        <v>60</v>
      </c>
      <c r="D26">
        <v>9</v>
      </c>
      <c r="E26">
        <v>43.8</v>
      </c>
    </row>
    <row r="27" spans="1:10" x14ac:dyDescent="0.2">
      <c r="A27" t="s">
        <v>14</v>
      </c>
      <c r="B27">
        <v>1966</v>
      </c>
      <c r="C27">
        <v>60</v>
      </c>
      <c r="D27">
        <v>9</v>
      </c>
      <c r="E27">
        <v>53.46</v>
      </c>
    </row>
    <row r="28" spans="1:10" x14ac:dyDescent="0.2">
      <c r="A28" t="s">
        <v>14</v>
      </c>
      <c r="B28">
        <v>1969</v>
      </c>
      <c r="C28">
        <v>60</v>
      </c>
      <c r="D28">
        <v>9</v>
      </c>
      <c r="E28">
        <v>26.82</v>
      </c>
    </row>
    <row r="31" spans="1:10" ht="41" customHeight="1" x14ac:dyDescent="0.2">
      <c r="A31" s="22"/>
      <c r="B31" s="22"/>
      <c r="C31" s="22"/>
      <c r="D31" s="22"/>
      <c r="E31" s="22"/>
      <c r="F31" s="22"/>
    </row>
    <row r="32" spans="1:10" ht="45" customHeight="1" x14ac:dyDescent="0.25">
      <c r="C32" s="24"/>
      <c r="D32" s="24"/>
      <c r="E32" s="24"/>
      <c r="F32" s="24"/>
      <c r="G32" s="24"/>
    </row>
  </sheetData>
  <mergeCells count="4">
    <mergeCell ref="A2:F2"/>
    <mergeCell ref="A3:G3"/>
    <mergeCell ref="A31:F31"/>
    <mergeCell ref="C32:G32"/>
  </mergeCells>
  <conditionalFormatting sqref="A3">
    <cfRule type="containsText" dxfId="7" priority="3" operator="containsText" text="Correct">
      <formula>NOT(ISERROR(SEARCH("Correct",A3)))</formula>
    </cfRule>
    <cfRule type="containsText" dxfId="6" priority="4" operator="containsText" text="Not quite">
      <formula>NOT(ISERROR(SEARCH("Not quite",A3)))</formula>
    </cfRule>
  </conditionalFormatting>
  <conditionalFormatting sqref="C32">
    <cfRule type="containsText" dxfId="5" priority="1" operator="containsText" text="Correct">
      <formula>NOT(ISERROR(SEARCH("Correct",C32)))</formula>
    </cfRule>
    <cfRule type="containsText" dxfId="4" priority="2" operator="containsText" text="Not quite">
      <formula>NOT(ISERROR(SEARCH("Not quite",C32)))</formula>
    </cfRule>
  </conditionalFormatting>
  <pageMargins left="0.7" right="0.7" top="0.75" bottom="0.75" header="0.3" footer="0.3"/>
  <ignoredErrors>
    <ignoredError sqref="A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880F-FB99-464C-902C-D72ECF3F02EF}">
  <dimension ref="A1:R68"/>
  <sheetViews>
    <sheetView showGridLines="0" zoomScale="125" workbookViewId="0">
      <selection activeCell="H3" sqref="H3"/>
    </sheetView>
  </sheetViews>
  <sheetFormatPr baseColWidth="10" defaultRowHeight="16" x14ac:dyDescent="0.2"/>
  <cols>
    <col min="1" max="4" width="10.83203125" style="8"/>
    <col min="5" max="5" width="18.6640625" style="8" bestFit="1" customWidth="1"/>
    <col min="6" max="6" width="10.83203125" style="8"/>
    <col min="7" max="7" width="30.1640625" style="8" customWidth="1"/>
    <col min="8" max="8" width="13" style="11" bestFit="1" customWidth="1"/>
    <col min="9" max="9" width="15.5" style="11" bestFit="1" customWidth="1"/>
    <col min="10" max="10" width="3.1640625" style="11" bestFit="1" customWidth="1"/>
    <col min="11" max="11" width="10.83203125" style="11" bestFit="1" customWidth="1"/>
    <col min="12" max="12" width="7" style="11" bestFit="1" customWidth="1"/>
    <col min="13" max="13" width="10.83203125" style="11" bestFit="1" customWidth="1"/>
    <col min="14" max="14" width="6.6640625" style="11" bestFit="1" customWidth="1"/>
    <col min="15" max="15" width="5.1640625" style="11" bestFit="1" customWidth="1"/>
    <col min="16" max="16" width="7" style="11" bestFit="1" customWidth="1"/>
    <col min="17" max="17" width="7.83203125" style="11" bestFit="1" customWidth="1"/>
    <col min="18" max="16384" width="10.83203125" style="11"/>
  </cols>
  <sheetData>
    <row r="1" spans="1:18" s="12" customFormat="1" ht="47" customHeight="1" x14ac:dyDescent="0.2">
      <c r="A1" s="10" t="s">
        <v>22</v>
      </c>
    </row>
    <row r="2" spans="1:18" s="8" customFormat="1" ht="103" customHeight="1" x14ac:dyDescent="0.2">
      <c r="A2" s="22" t="s">
        <v>21</v>
      </c>
      <c r="B2" s="22"/>
      <c r="C2" s="22"/>
      <c r="D2" s="22"/>
      <c r="E2" s="22"/>
      <c r="F2" s="22"/>
      <c r="H2" s="10"/>
    </row>
    <row r="3" spans="1:18" ht="20" customHeight="1" x14ac:dyDescent="0.25">
      <c r="A3" s="23" t="str" cm="1">
        <f t="array" ref="A3">IF(ISBLANK(H3),"place the upper-left cell of your pivot table here --&gt;",IF(OR(SUMPRODUCT((I5:J8='Exercise 3 checks'!A1:B4)-1)=0,SUMPRODUCT((I5:L6='Exercise 3 checks'!D1:G2)-1)=0),"Correct!","Not quite! Did you use 'Year' as the values with the 'Count' option?"))</f>
        <v>Correct!</v>
      </c>
      <c r="B3" s="23"/>
      <c r="C3" s="23"/>
      <c r="D3" s="23"/>
      <c r="E3" s="23"/>
      <c r="F3" s="23"/>
      <c r="G3" s="23"/>
      <c r="H3" s="13" t="s">
        <v>20</v>
      </c>
      <c r="I3" s="13" t="s">
        <v>17</v>
      </c>
      <c r="J3"/>
      <c r="K3"/>
      <c r="L3"/>
      <c r="M3"/>
      <c r="N3"/>
      <c r="O3"/>
      <c r="P3"/>
      <c r="Q3"/>
      <c r="R3"/>
    </row>
    <row r="4" spans="1:18" ht="20" x14ac:dyDescent="0.2">
      <c r="A4" s="9"/>
      <c r="H4" s="13" t="s">
        <v>15</v>
      </c>
      <c r="I4">
        <v>50</v>
      </c>
      <c r="J4">
        <v>60</v>
      </c>
      <c r="K4" t="s">
        <v>16</v>
      </c>
      <c r="L4"/>
      <c r="M4"/>
      <c r="N4"/>
      <c r="O4"/>
      <c r="P4"/>
      <c r="Q4"/>
      <c r="R4"/>
    </row>
    <row r="5" spans="1:18" x14ac:dyDescent="0.2">
      <c r="A5" t="s">
        <v>7</v>
      </c>
      <c r="B5" t="s">
        <v>8</v>
      </c>
      <c r="C5" t="s">
        <v>9</v>
      </c>
      <c r="D5" t="s">
        <v>10</v>
      </c>
      <c r="E5" t="s">
        <v>11</v>
      </c>
      <c r="H5" s="14" t="s">
        <v>12</v>
      </c>
      <c r="I5" s="26">
        <v>2</v>
      </c>
      <c r="J5" s="26">
        <v>6</v>
      </c>
      <c r="K5" s="26">
        <v>8</v>
      </c>
      <c r="L5"/>
      <c r="M5"/>
      <c r="N5"/>
      <c r="O5"/>
      <c r="P5"/>
      <c r="Q5"/>
      <c r="R5"/>
    </row>
    <row r="6" spans="1:18" x14ac:dyDescent="0.2">
      <c r="A6" t="s">
        <v>12</v>
      </c>
      <c r="B6">
        <v>1953</v>
      </c>
      <c r="C6">
        <v>50</v>
      </c>
      <c r="D6">
        <v>9</v>
      </c>
      <c r="E6">
        <v>10.6</v>
      </c>
      <c r="H6" s="14" t="s">
        <v>13</v>
      </c>
      <c r="I6" s="26"/>
      <c r="J6" s="26">
        <v>6</v>
      </c>
      <c r="K6" s="26">
        <v>6</v>
      </c>
      <c r="L6"/>
      <c r="M6"/>
      <c r="N6"/>
      <c r="O6"/>
      <c r="P6"/>
      <c r="Q6"/>
      <c r="R6"/>
    </row>
    <row r="7" spans="1:18" x14ac:dyDescent="0.2">
      <c r="A7" t="s">
        <v>12</v>
      </c>
      <c r="B7">
        <v>1954</v>
      </c>
      <c r="C7">
        <v>50</v>
      </c>
      <c r="D7">
        <v>9</v>
      </c>
      <c r="E7">
        <v>8.1199999999999992</v>
      </c>
      <c r="H7" s="14" t="s">
        <v>19</v>
      </c>
      <c r="I7" s="26">
        <v>18</v>
      </c>
      <c r="J7" s="26">
        <v>22</v>
      </c>
      <c r="K7" s="26">
        <v>40</v>
      </c>
      <c r="L7"/>
      <c r="M7"/>
    </row>
    <row r="8" spans="1:18" x14ac:dyDescent="0.2">
      <c r="A8" t="s">
        <v>12</v>
      </c>
      <c r="B8">
        <v>1963</v>
      </c>
      <c r="C8">
        <v>60</v>
      </c>
      <c r="D8">
        <v>9</v>
      </c>
      <c r="E8">
        <v>12.6</v>
      </c>
      <c r="H8" s="14" t="s">
        <v>14</v>
      </c>
      <c r="I8" s="26">
        <v>5</v>
      </c>
      <c r="J8" s="26">
        <v>4</v>
      </c>
      <c r="K8" s="26">
        <v>9</v>
      </c>
    </row>
    <row r="9" spans="1:18" x14ac:dyDescent="0.2">
      <c r="A9" t="s">
        <v>12</v>
      </c>
      <c r="B9">
        <v>1964</v>
      </c>
      <c r="C9">
        <v>60</v>
      </c>
      <c r="D9">
        <v>9</v>
      </c>
      <c r="E9">
        <v>13.61</v>
      </c>
      <c r="H9" s="14" t="s">
        <v>16</v>
      </c>
      <c r="I9" s="26">
        <v>25</v>
      </c>
      <c r="J9" s="26">
        <v>38</v>
      </c>
      <c r="K9" s="26">
        <v>63</v>
      </c>
    </row>
    <row r="10" spans="1:18" x14ac:dyDescent="0.2">
      <c r="A10" t="s">
        <v>12</v>
      </c>
      <c r="B10">
        <v>1965</v>
      </c>
      <c r="C10">
        <v>60</v>
      </c>
      <c r="D10">
        <v>9</v>
      </c>
      <c r="E10">
        <v>10.95</v>
      </c>
      <c r="H10"/>
      <c r="I10"/>
      <c r="J10"/>
      <c r="K10"/>
    </row>
    <row r="11" spans="1:18" x14ac:dyDescent="0.2">
      <c r="A11" t="s">
        <v>12</v>
      </c>
      <c r="B11">
        <v>1966</v>
      </c>
      <c r="C11">
        <v>60</v>
      </c>
      <c r="D11">
        <v>9</v>
      </c>
      <c r="E11">
        <v>15.88</v>
      </c>
      <c r="H11"/>
      <c r="I11"/>
      <c r="J11"/>
      <c r="K11"/>
    </row>
    <row r="12" spans="1:18" x14ac:dyDescent="0.2">
      <c r="A12" t="s">
        <v>12</v>
      </c>
      <c r="B12">
        <v>1967</v>
      </c>
      <c r="C12">
        <v>60</v>
      </c>
      <c r="D12">
        <v>9</v>
      </c>
      <c r="E12">
        <v>20.22</v>
      </c>
      <c r="H12"/>
      <c r="I12"/>
      <c r="J12"/>
      <c r="K12"/>
    </row>
    <row r="13" spans="1:18" x14ac:dyDescent="0.2">
      <c r="A13" t="s">
        <v>12</v>
      </c>
      <c r="B13">
        <v>1968</v>
      </c>
      <c r="C13">
        <v>60</v>
      </c>
      <c r="D13">
        <v>9</v>
      </c>
      <c r="E13">
        <v>21.98</v>
      </c>
      <c r="H13"/>
      <c r="I13"/>
      <c r="J13"/>
      <c r="K13"/>
    </row>
    <row r="14" spans="1:18" x14ac:dyDescent="0.2">
      <c r="A14" t="s">
        <v>13</v>
      </c>
      <c r="B14">
        <v>1964</v>
      </c>
      <c r="C14">
        <v>60</v>
      </c>
      <c r="D14">
        <v>9</v>
      </c>
      <c r="E14">
        <v>289.86</v>
      </c>
      <c r="H14"/>
      <c r="I14"/>
      <c r="J14"/>
      <c r="K14"/>
    </row>
    <row r="15" spans="1:18" x14ac:dyDescent="0.2">
      <c r="A15" t="s">
        <v>13</v>
      </c>
      <c r="B15">
        <v>1965</v>
      </c>
      <c r="C15">
        <v>60</v>
      </c>
      <c r="D15">
        <v>9</v>
      </c>
      <c r="E15">
        <v>140.49</v>
      </c>
      <c r="H15"/>
      <c r="I15"/>
      <c r="J15"/>
      <c r="K15"/>
    </row>
    <row r="16" spans="1:18" x14ac:dyDescent="0.2">
      <c r="A16" t="s">
        <v>13</v>
      </c>
      <c r="B16">
        <v>1966</v>
      </c>
      <c r="C16">
        <v>60</v>
      </c>
      <c r="D16">
        <v>9</v>
      </c>
      <c r="E16">
        <v>265.55</v>
      </c>
      <c r="H16"/>
      <c r="I16"/>
      <c r="J16"/>
      <c r="K16"/>
    </row>
    <row r="17" spans="1:11" x14ac:dyDescent="0.2">
      <c r="A17" t="s">
        <v>13</v>
      </c>
      <c r="B17">
        <v>1967</v>
      </c>
      <c r="C17">
        <v>60</v>
      </c>
      <c r="D17">
        <v>9</v>
      </c>
      <c r="E17">
        <v>345.35</v>
      </c>
      <c r="H17"/>
      <c r="I17"/>
      <c r="J17"/>
      <c r="K17"/>
    </row>
    <row r="18" spans="1:11" x14ac:dyDescent="0.2">
      <c r="A18" t="s">
        <v>13</v>
      </c>
      <c r="B18">
        <v>1969</v>
      </c>
      <c r="C18">
        <v>60</v>
      </c>
      <c r="D18">
        <v>9</v>
      </c>
      <c r="E18">
        <v>559.57000000000005</v>
      </c>
      <c r="H18"/>
      <c r="I18"/>
      <c r="J18"/>
      <c r="K18"/>
    </row>
    <row r="19" spans="1:11" x14ac:dyDescent="0.2">
      <c r="A19" t="s">
        <v>13</v>
      </c>
      <c r="B19">
        <v>1970</v>
      </c>
      <c r="C19">
        <v>60</v>
      </c>
      <c r="D19">
        <v>9</v>
      </c>
      <c r="E19">
        <v>333.55</v>
      </c>
      <c r="H19"/>
      <c r="I19"/>
      <c r="J19"/>
      <c r="K19"/>
    </row>
    <row r="20" spans="1:11" x14ac:dyDescent="0.2">
      <c r="A20" t="s">
        <v>19</v>
      </c>
      <c r="B20">
        <v>1750</v>
      </c>
      <c r="C20">
        <v>50</v>
      </c>
      <c r="D20">
        <v>7</v>
      </c>
      <c r="E20">
        <v>0.1</v>
      </c>
      <c r="H20"/>
      <c r="I20"/>
      <c r="J20"/>
      <c r="K20"/>
    </row>
    <row r="21" spans="1:11" x14ac:dyDescent="0.2">
      <c r="A21" t="s">
        <v>19</v>
      </c>
      <c r="B21">
        <v>1751</v>
      </c>
      <c r="C21">
        <v>50</v>
      </c>
      <c r="D21">
        <v>7</v>
      </c>
      <c r="E21">
        <v>0.1</v>
      </c>
      <c r="H21"/>
      <c r="I21"/>
      <c r="J21"/>
      <c r="K21"/>
    </row>
    <row r="22" spans="1:11" x14ac:dyDescent="0.2">
      <c r="A22" t="s">
        <v>19</v>
      </c>
      <c r="B22">
        <v>1752</v>
      </c>
      <c r="C22">
        <v>50</v>
      </c>
      <c r="D22">
        <v>7</v>
      </c>
      <c r="E22">
        <v>0.1</v>
      </c>
      <c r="H22"/>
      <c r="I22"/>
      <c r="J22"/>
      <c r="K22"/>
    </row>
    <row r="23" spans="1:11" x14ac:dyDescent="0.2">
      <c r="A23" t="s">
        <v>19</v>
      </c>
      <c r="B23">
        <v>1753</v>
      </c>
      <c r="C23">
        <v>50</v>
      </c>
      <c r="D23">
        <v>7</v>
      </c>
      <c r="E23">
        <v>0.1</v>
      </c>
      <c r="H23"/>
      <c r="I23"/>
      <c r="J23"/>
      <c r="K23"/>
    </row>
    <row r="24" spans="1:11" x14ac:dyDescent="0.2">
      <c r="A24" t="s">
        <v>19</v>
      </c>
      <c r="B24">
        <v>1754</v>
      </c>
      <c r="C24">
        <v>50</v>
      </c>
      <c r="D24">
        <v>7</v>
      </c>
      <c r="E24">
        <v>0.1</v>
      </c>
      <c r="H24"/>
      <c r="I24"/>
      <c r="J24"/>
      <c r="K24"/>
    </row>
    <row r="25" spans="1:11" x14ac:dyDescent="0.2">
      <c r="A25" t="s">
        <v>19</v>
      </c>
      <c r="B25">
        <v>1755</v>
      </c>
      <c r="C25">
        <v>50</v>
      </c>
      <c r="D25">
        <v>7</v>
      </c>
      <c r="E25">
        <v>0.1</v>
      </c>
      <c r="H25"/>
      <c r="I25"/>
      <c r="J25"/>
      <c r="K25"/>
    </row>
    <row r="26" spans="1:11" x14ac:dyDescent="0.2">
      <c r="A26" t="s">
        <v>19</v>
      </c>
      <c r="B26">
        <v>1756</v>
      </c>
      <c r="C26">
        <v>50</v>
      </c>
      <c r="D26">
        <v>7</v>
      </c>
      <c r="E26">
        <v>0.1</v>
      </c>
      <c r="H26"/>
      <c r="I26"/>
      <c r="J26"/>
      <c r="K26"/>
    </row>
    <row r="27" spans="1:11" x14ac:dyDescent="0.2">
      <c r="A27" t="s">
        <v>19</v>
      </c>
      <c r="B27">
        <v>1757</v>
      </c>
      <c r="C27">
        <v>50</v>
      </c>
      <c r="D27">
        <v>7</v>
      </c>
      <c r="E27">
        <v>0.1</v>
      </c>
      <c r="H27"/>
      <c r="I27"/>
      <c r="J27"/>
      <c r="K27"/>
    </row>
    <row r="28" spans="1:11" x14ac:dyDescent="0.2">
      <c r="A28" t="s">
        <v>19</v>
      </c>
      <c r="B28">
        <v>1758</v>
      </c>
      <c r="C28">
        <v>50</v>
      </c>
      <c r="D28">
        <v>7</v>
      </c>
      <c r="E28">
        <v>0.1</v>
      </c>
      <c r="H28"/>
      <c r="I28"/>
      <c r="J28"/>
      <c r="K28"/>
    </row>
    <row r="29" spans="1:11" x14ac:dyDescent="0.2">
      <c r="A29" t="s">
        <v>19</v>
      </c>
      <c r="B29">
        <v>1759</v>
      </c>
      <c r="C29">
        <v>50</v>
      </c>
      <c r="D29">
        <v>7</v>
      </c>
      <c r="E29">
        <v>0.1</v>
      </c>
      <c r="H29"/>
      <c r="I29"/>
      <c r="J29"/>
      <c r="K29"/>
    </row>
    <row r="30" spans="1:11" x14ac:dyDescent="0.2">
      <c r="A30" t="s">
        <v>19</v>
      </c>
      <c r="B30">
        <v>1760</v>
      </c>
      <c r="C30">
        <v>60</v>
      </c>
      <c r="D30">
        <v>7</v>
      </c>
      <c r="E30">
        <v>0.1</v>
      </c>
      <c r="H30"/>
      <c r="I30"/>
      <c r="J30"/>
      <c r="K30"/>
    </row>
    <row r="31" spans="1:11" x14ac:dyDescent="0.2">
      <c r="A31" t="s">
        <v>19</v>
      </c>
      <c r="B31">
        <v>1761</v>
      </c>
      <c r="C31">
        <v>60</v>
      </c>
      <c r="D31">
        <v>7</v>
      </c>
      <c r="E31">
        <v>0.1</v>
      </c>
      <c r="H31"/>
      <c r="I31"/>
      <c r="J31"/>
      <c r="K31"/>
    </row>
    <row r="32" spans="1:11" x14ac:dyDescent="0.2">
      <c r="A32" t="s">
        <v>19</v>
      </c>
      <c r="B32">
        <v>1762</v>
      </c>
      <c r="C32">
        <v>60</v>
      </c>
      <c r="D32">
        <v>7</v>
      </c>
      <c r="E32">
        <v>0.1</v>
      </c>
      <c r="H32"/>
      <c r="I32"/>
      <c r="J32"/>
      <c r="K32"/>
    </row>
    <row r="33" spans="1:11" x14ac:dyDescent="0.2">
      <c r="A33" t="s">
        <v>19</v>
      </c>
      <c r="B33">
        <v>1763</v>
      </c>
      <c r="C33">
        <v>60</v>
      </c>
      <c r="D33">
        <v>7</v>
      </c>
      <c r="E33">
        <v>0.1</v>
      </c>
      <c r="H33"/>
      <c r="I33"/>
      <c r="J33"/>
      <c r="K33"/>
    </row>
    <row r="34" spans="1:11" x14ac:dyDescent="0.2">
      <c r="A34" t="s">
        <v>19</v>
      </c>
      <c r="B34">
        <v>1764</v>
      </c>
      <c r="C34">
        <v>60</v>
      </c>
      <c r="D34">
        <v>7</v>
      </c>
      <c r="E34">
        <v>0.1</v>
      </c>
      <c r="H34"/>
      <c r="I34"/>
      <c r="J34"/>
      <c r="K34"/>
    </row>
    <row r="35" spans="1:11" x14ac:dyDescent="0.2">
      <c r="A35" t="s">
        <v>19</v>
      </c>
      <c r="B35">
        <v>1765</v>
      </c>
      <c r="C35">
        <v>60</v>
      </c>
      <c r="D35">
        <v>7</v>
      </c>
      <c r="E35">
        <v>0.1</v>
      </c>
      <c r="H35"/>
      <c r="I35"/>
      <c r="J35"/>
      <c r="K35"/>
    </row>
    <row r="36" spans="1:11" x14ac:dyDescent="0.2">
      <c r="A36" t="s">
        <v>19</v>
      </c>
      <c r="B36">
        <v>1766</v>
      </c>
      <c r="C36">
        <v>60</v>
      </c>
      <c r="D36">
        <v>7</v>
      </c>
      <c r="E36">
        <v>0.1</v>
      </c>
      <c r="H36"/>
      <c r="I36"/>
      <c r="J36"/>
      <c r="K36"/>
    </row>
    <row r="37" spans="1:11" x14ac:dyDescent="0.2">
      <c r="A37" t="s">
        <v>19</v>
      </c>
      <c r="B37">
        <v>1767</v>
      </c>
      <c r="C37">
        <v>60</v>
      </c>
      <c r="D37">
        <v>7</v>
      </c>
      <c r="E37">
        <v>0.1</v>
      </c>
      <c r="H37"/>
      <c r="I37"/>
      <c r="J37"/>
      <c r="K37"/>
    </row>
    <row r="38" spans="1:11" x14ac:dyDescent="0.2">
      <c r="A38" t="s">
        <v>19</v>
      </c>
      <c r="B38">
        <v>1768</v>
      </c>
      <c r="C38">
        <v>60</v>
      </c>
      <c r="D38">
        <v>7</v>
      </c>
      <c r="E38">
        <v>0.1</v>
      </c>
      <c r="H38"/>
      <c r="I38"/>
      <c r="J38"/>
      <c r="K38"/>
    </row>
    <row r="39" spans="1:11" x14ac:dyDescent="0.2">
      <c r="A39" t="s">
        <v>19</v>
      </c>
      <c r="B39">
        <v>1769</v>
      </c>
      <c r="C39">
        <v>60</v>
      </c>
      <c r="D39">
        <v>7</v>
      </c>
      <c r="E39">
        <v>0.1</v>
      </c>
      <c r="H39"/>
      <c r="I39"/>
      <c r="J39"/>
      <c r="K39"/>
    </row>
    <row r="40" spans="1:11" x14ac:dyDescent="0.2">
      <c r="A40" t="s">
        <v>19</v>
      </c>
      <c r="B40">
        <v>1770</v>
      </c>
      <c r="C40">
        <v>60</v>
      </c>
      <c r="D40">
        <v>7</v>
      </c>
      <c r="E40">
        <v>0.1</v>
      </c>
      <c r="H40"/>
      <c r="I40"/>
      <c r="J40"/>
      <c r="K40"/>
    </row>
    <row r="41" spans="1:11" x14ac:dyDescent="0.2">
      <c r="A41" t="s">
        <v>19</v>
      </c>
      <c r="B41">
        <v>1950</v>
      </c>
      <c r="C41">
        <v>50</v>
      </c>
      <c r="D41">
        <v>9</v>
      </c>
      <c r="E41">
        <v>52.28</v>
      </c>
      <c r="H41"/>
      <c r="I41"/>
      <c r="J41"/>
      <c r="K41"/>
    </row>
    <row r="42" spans="1:11" x14ac:dyDescent="0.2">
      <c r="A42" t="s">
        <v>19</v>
      </c>
      <c r="B42">
        <v>1951</v>
      </c>
      <c r="C42">
        <v>50</v>
      </c>
      <c r="D42">
        <v>9</v>
      </c>
      <c r="E42">
        <v>47.61</v>
      </c>
      <c r="H42"/>
      <c r="I42"/>
      <c r="J42"/>
      <c r="K42"/>
    </row>
    <row r="43" spans="1:11" x14ac:dyDescent="0.2">
      <c r="A43" t="s">
        <v>19</v>
      </c>
      <c r="B43">
        <v>1952</v>
      </c>
      <c r="C43">
        <v>50</v>
      </c>
      <c r="D43">
        <v>9</v>
      </c>
      <c r="E43">
        <v>45.53</v>
      </c>
      <c r="H43"/>
      <c r="I43"/>
      <c r="J43"/>
      <c r="K43"/>
    </row>
    <row r="44" spans="1:11" x14ac:dyDescent="0.2">
      <c r="A44" t="s">
        <v>19</v>
      </c>
      <c r="B44">
        <v>1953</v>
      </c>
      <c r="C44">
        <v>50</v>
      </c>
      <c r="D44">
        <v>9</v>
      </c>
      <c r="E44">
        <v>43.52</v>
      </c>
      <c r="H44"/>
      <c r="I44"/>
      <c r="J44"/>
      <c r="K44"/>
    </row>
    <row r="45" spans="1:11" x14ac:dyDescent="0.2">
      <c r="A45" t="s">
        <v>19</v>
      </c>
      <c r="B45">
        <v>1954</v>
      </c>
      <c r="C45">
        <v>50</v>
      </c>
      <c r="D45">
        <v>9</v>
      </c>
      <c r="E45">
        <v>37.64</v>
      </c>
      <c r="H45"/>
      <c r="I45"/>
      <c r="J45"/>
      <c r="K45"/>
    </row>
    <row r="46" spans="1:11" x14ac:dyDescent="0.2">
      <c r="A46" t="s">
        <v>19</v>
      </c>
      <c r="B46">
        <v>1955</v>
      </c>
      <c r="C46">
        <v>50</v>
      </c>
      <c r="D46">
        <v>9</v>
      </c>
      <c r="E46">
        <v>47.22</v>
      </c>
      <c r="H46"/>
      <c r="I46"/>
      <c r="J46"/>
      <c r="K46"/>
    </row>
    <row r="47" spans="1:11" x14ac:dyDescent="0.2">
      <c r="A47" t="s">
        <v>19</v>
      </c>
      <c r="B47">
        <v>1958</v>
      </c>
      <c r="C47">
        <v>50</v>
      </c>
      <c r="D47">
        <v>9</v>
      </c>
      <c r="E47">
        <v>41.71</v>
      </c>
    </row>
    <row r="48" spans="1:11" x14ac:dyDescent="0.2">
      <c r="A48" t="s">
        <v>19</v>
      </c>
      <c r="B48">
        <v>1959</v>
      </c>
      <c r="C48">
        <v>50</v>
      </c>
      <c r="D48">
        <v>9</v>
      </c>
      <c r="E48">
        <v>28.12</v>
      </c>
    </row>
    <row r="49" spans="1:5" x14ac:dyDescent="0.2">
      <c r="A49" t="s">
        <v>19</v>
      </c>
      <c r="B49">
        <v>1960</v>
      </c>
      <c r="C49">
        <v>60</v>
      </c>
      <c r="D49">
        <v>9</v>
      </c>
      <c r="E49">
        <v>24.75</v>
      </c>
    </row>
    <row r="50" spans="1:5" x14ac:dyDescent="0.2">
      <c r="A50" t="s">
        <v>19</v>
      </c>
      <c r="B50">
        <v>1961</v>
      </c>
      <c r="C50">
        <v>60</v>
      </c>
      <c r="D50">
        <v>9</v>
      </c>
      <c r="E50">
        <v>20.2</v>
      </c>
    </row>
    <row r="51" spans="1:5" x14ac:dyDescent="0.2">
      <c r="A51" t="s">
        <v>19</v>
      </c>
      <c r="B51">
        <v>1962</v>
      </c>
      <c r="C51">
        <v>60</v>
      </c>
      <c r="D51">
        <v>9</v>
      </c>
      <c r="E51">
        <v>24.42</v>
      </c>
    </row>
    <row r="52" spans="1:5" x14ac:dyDescent="0.2">
      <c r="A52" t="s">
        <v>19</v>
      </c>
      <c r="B52">
        <v>1963</v>
      </c>
      <c r="C52">
        <v>60</v>
      </c>
      <c r="D52">
        <v>9</v>
      </c>
      <c r="E52">
        <v>39.299999999999997</v>
      </c>
    </row>
    <row r="53" spans="1:5" x14ac:dyDescent="0.2">
      <c r="A53" t="s">
        <v>19</v>
      </c>
      <c r="B53">
        <v>1964</v>
      </c>
      <c r="C53">
        <v>60</v>
      </c>
      <c r="D53">
        <v>9</v>
      </c>
      <c r="E53">
        <v>27.7</v>
      </c>
    </row>
    <row r="54" spans="1:5" x14ac:dyDescent="0.2">
      <c r="A54" t="s">
        <v>19</v>
      </c>
      <c r="B54">
        <v>1965</v>
      </c>
      <c r="C54">
        <v>60</v>
      </c>
      <c r="D54">
        <v>9</v>
      </c>
      <c r="E54">
        <v>27</v>
      </c>
    </row>
    <row r="55" spans="1:5" x14ac:dyDescent="0.2">
      <c r="A55" t="s">
        <v>19</v>
      </c>
      <c r="B55">
        <v>1966</v>
      </c>
      <c r="C55">
        <v>60</v>
      </c>
      <c r="D55">
        <v>9</v>
      </c>
      <c r="E55">
        <v>24.49</v>
      </c>
    </row>
    <row r="56" spans="1:5" x14ac:dyDescent="0.2">
      <c r="A56" t="s">
        <v>19</v>
      </c>
      <c r="B56">
        <v>1967</v>
      </c>
      <c r="C56">
        <v>60</v>
      </c>
      <c r="D56">
        <v>9</v>
      </c>
      <c r="E56">
        <v>20.98</v>
      </c>
    </row>
    <row r="57" spans="1:5" x14ac:dyDescent="0.2">
      <c r="A57" t="s">
        <v>19</v>
      </c>
      <c r="B57">
        <v>1968</v>
      </c>
      <c r="C57">
        <v>60</v>
      </c>
      <c r="D57">
        <v>9</v>
      </c>
      <c r="E57">
        <v>22.03</v>
      </c>
    </row>
    <row r="58" spans="1:5" x14ac:dyDescent="0.2">
      <c r="A58" t="s">
        <v>19</v>
      </c>
      <c r="B58">
        <v>1969</v>
      </c>
      <c r="C58">
        <v>60</v>
      </c>
      <c r="D58">
        <v>9</v>
      </c>
      <c r="E58">
        <v>25.96</v>
      </c>
    </row>
    <row r="59" spans="1:5" x14ac:dyDescent="0.2">
      <c r="A59" t="s">
        <v>19</v>
      </c>
      <c r="B59">
        <v>1970</v>
      </c>
      <c r="C59">
        <v>60</v>
      </c>
      <c r="D59">
        <v>9</v>
      </c>
      <c r="E59">
        <v>26.15</v>
      </c>
    </row>
    <row r="60" spans="1:5" x14ac:dyDescent="0.2">
      <c r="A60" t="s">
        <v>14</v>
      </c>
      <c r="B60">
        <v>1953</v>
      </c>
      <c r="C60">
        <v>50</v>
      </c>
      <c r="D60">
        <v>9</v>
      </c>
      <c r="E60">
        <v>15.08</v>
      </c>
    </row>
    <row r="61" spans="1:5" x14ac:dyDescent="0.2">
      <c r="A61" t="s">
        <v>14</v>
      </c>
      <c r="B61">
        <v>1954</v>
      </c>
      <c r="C61">
        <v>50</v>
      </c>
      <c r="D61">
        <v>9</v>
      </c>
      <c r="E61">
        <v>23.81</v>
      </c>
    </row>
    <row r="62" spans="1:5" x14ac:dyDescent="0.2">
      <c r="A62" t="s">
        <v>14</v>
      </c>
      <c r="B62">
        <v>1955</v>
      </c>
      <c r="C62">
        <v>50</v>
      </c>
      <c r="D62">
        <v>9</v>
      </c>
      <c r="E62">
        <v>32.24</v>
      </c>
    </row>
    <row r="63" spans="1:5" x14ac:dyDescent="0.2">
      <c r="A63" t="s">
        <v>14</v>
      </c>
      <c r="B63">
        <v>1957</v>
      </c>
      <c r="C63">
        <v>50</v>
      </c>
      <c r="D63">
        <v>9</v>
      </c>
      <c r="E63">
        <v>29.11</v>
      </c>
    </row>
    <row r="64" spans="1:5" x14ac:dyDescent="0.2">
      <c r="A64" t="s">
        <v>14</v>
      </c>
      <c r="B64">
        <v>1958</v>
      </c>
      <c r="C64">
        <v>50</v>
      </c>
      <c r="D64">
        <v>9</v>
      </c>
      <c r="E64">
        <v>24.46</v>
      </c>
    </row>
    <row r="65" spans="1:5" x14ac:dyDescent="0.2">
      <c r="A65" t="s">
        <v>14</v>
      </c>
      <c r="B65">
        <v>1964</v>
      </c>
      <c r="C65">
        <v>60</v>
      </c>
      <c r="D65">
        <v>9</v>
      </c>
      <c r="E65">
        <v>23.95</v>
      </c>
    </row>
    <row r="66" spans="1:5" x14ac:dyDescent="0.2">
      <c r="A66" t="s">
        <v>14</v>
      </c>
      <c r="B66">
        <v>1965</v>
      </c>
      <c r="C66">
        <v>60</v>
      </c>
      <c r="D66">
        <v>9</v>
      </c>
      <c r="E66">
        <v>43.8</v>
      </c>
    </row>
    <row r="67" spans="1:5" x14ac:dyDescent="0.2">
      <c r="A67" t="s">
        <v>14</v>
      </c>
      <c r="B67">
        <v>1966</v>
      </c>
      <c r="C67">
        <v>60</v>
      </c>
      <c r="D67">
        <v>9</v>
      </c>
      <c r="E67">
        <v>53.46</v>
      </c>
    </row>
    <row r="68" spans="1:5" x14ac:dyDescent="0.2">
      <c r="A68" t="s">
        <v>14</v>
      </c>
      <c r="B68">
        <v>1969</v>
      </c>
      <c r="C68">
        <v>60</v>
      </c>
      <c r="D68">
        <v>9</v>
      </c>
      <c r="E6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4939-7824-8342-92E5-A902EA109E8C}">
  <dimension ref="A1:R68"/>
  <sheetViews>
    <sheetView showGridLines="0" tabSelected="1" zoomScale="57" zoomScaleNormal="150" workbookViewId="0">
      <selection activeCell="I3" sqref="I3"/>
    </sheetView>
  </sheetViews>
  <sheetFormatPr baseColWidth="10" defaultRowHeight="16" x14ac:dyDescent="0.2"/>
  <cols>
    <col min="1" max="4" width="10.83203125" style="8"/>
    <col min="5" max="5" width="18.6640625" style="8" bestFit="1" customWidth="1"/>
    <col min="6" max="6" width="10.83203125" style="8"/>
    <col min="7" max="7" width="45.33203125" style="8" customWidth="1"/>
    <col min="8" max="8" width="13" style="11" bestFit="1" customWidth="1"/>
    <col min="9" max="9" width="15.5" style="11" bestFit="1" customWidth="1"/>
    <col min="10" max="10" width="3.1640625" style="11" bestFit="1" customWidth="1"/>
    <col min="11" max="11" width="6.83203125" style="11" bestFit="1" customWidth="1"/>
    <col min="12" max="12" width="5.5" style="11" bestFit="1" customWidth="1"/>
    <col min="13" max="13" width="3.1640625" style="11" bestFit="1" customWidth="1"/>
    <col min="14" max="14" width="6.83203125" style="11" bestFit="1" customWidth="1"/>
    <col min="15" max="15" width="10.83203125" style="11" bestFit="1" customWidth="1"/>
    <col min="16" max="16" width="7" style="11" bestFit="1" customWidth="1"/>
    <col min="17" max="17" width="7.83203125" style="11" bestFit="1" customWidth="1"/>
    <col min="18" max="16384" width="10.83203125" style="11"/>
  </cols>
  <sheetData>
    <row r="1" spans="1:18" s="12" customFormat="1" ht="47" customHeight="1" x14ac:dyDescent="0.2">
      <c r="A1" s="10" t="s">
        <v>23</v>
      </c>
    </row>
    <row r="2" spans="1:18" s="8" customFormat="1" ht="185" customHeight="1" x14ac:dyDescent="0.2">
      <c r="A2" s="25" t="s">
        <v>24</v>
      </c>
      <c r="B2" s="25"/>
      <c r="C2" s="25"/>
      <c r="D2" s="25"/>
      <c r="E2" s="25"/>
      <c r="F2" s="25"/>
      <c r="H2" s="10"/>
    </row>
    <row r="3" spans="1:18" ht="20" customHeight="1" x14ac:dyDescent="0.25">
      <c r="A3" s="23" t="str" cm="1">
        <f t="array" ref="A3">IF(SUMPRODUCT((H5:K8='Exercise 4 checks'!A1:D4)-1)=0,"add 'century' to the columns --&gt;",IF(OR(SUMPRODUCT((H6:O9='Exercise 4 checks'!F1:M4)-1)=0,SUMPRODUCT((H6:O9='Exercise 4 checks'!O1:V4)-1)=0),"Correct!","Not quite! The only change you should make is adding 'Century' to the 'Columns'"))</f>
        <v>Correct!</v>
      </c>
      <c r="B3" s="23"/>
      <c r="C3" s="23"/>
      <c r="D3" s="23"/>
      <c r="E3" s="23"/>
      <c r="F3" s="23"/>
      <c r="G3" s="23"/>
      <c r="H3" s="13" t="s">
        <v>20</v>
      </c>
      <c r="I3" s="13" t="s">
        <v>17</v>
      </c>
      <c r="J3"/>
      <c r="K3"/>
      <c r="L3"/>
      <c r="M3"/>
      <c r="N3"/>
      <c r="O3"/>
      <c r="P3"/>
      <c r="Q3"/>
      <c r="R3"/>
    </row>
    <row r="4" spans="1:18" ht="20" x14ac:dyDescent="0.2">
      <c r="A4" s="9"/>
      <c r="H4"/>
      <c r="I4">
        <v>7</v>
      </c>
      <c r="J4"/>
      <c r="K4" t="s">
        <v>31</v>
      </c>
      <c r="L4">
        <v>9</v>
      </c>
      <c r="M4"/>
      <c r="N4" t="s">
        <v>32</v>
      </c>
      <c r="O4" t="s">
        <v>16</v>
      </c>
      <c r="P4"/>
      <c r="Q4"/>
      <c r="R4"/>
    </row>
    <row r="5" spans="1:18" x14ac:dyDescent="0.2">
      <c r="A5" t="s">
        <v>7</v>
      </c>
      <c r="B5" t="s">
        <v>8</v>
      </c>
      <c r="C5" t="s">
        <v>9</v>
      </c>
      <c r="D5" t="s">
        <v>10</v>
      </c>
      <c r="E5" t="s">
        <v>11</v>
      </c>
      <c r="H5" s="13" t="s">
        <v>15</v>
      </c>
      <c r="I5">
        <v>50</v>
      </c>
      <c r="J5">
        <v>60</v>
      </c>
      <c r="K5"/>
      <c r="L5">
        <v>50</v>
      </c>
      <c r="M5">
        <v>60</v>
      </c>
      <c r="N5"/>
      <c r="O5"/>
      <c r="P5"/>
      <c r="Q5"/>
      <c r="R5"/>
    </row>
    <row r="6" spans="1:18" x14ac:dyDescent="0.2">
      <c r="A6" t="s">
        <v>12</v>
      </c>
      <c r="B6">
        <v>1953</v>
      </c>
      <c r="C6">
        <v>50</v>
      </c>
      <c r="D6">
        <v>9</v>
      </c>
      <c r="E6">
        <v>10.6</v>
      </c>
      <c r="H6" s="14" t="s">
        <v>12</v>
      </c>
      <c r="I6" s="26"/>
      <c r="J6" s="26"/>
      <c r="K6" s="26"/>
      <c r="L6" s="26">
        <v>2</v>
      </c>
      <c r="M6" s="26">
        <v>6</v>
      </c>
      <c r="N6" s="26">
        <v>8</v>
      </c>
      <c r="O6" s="26">
        <v>8</v>
      </c>
      <c r="P6"/>
      <c r="Q6"/>
      <c r="R6"/>
    </row>
    <row r="7" spans="1:18" x14ac:dyDescent="0.2">
      <c r="A7" t="s">
        <v>12</v>
      </c>
      <c r="B7">
        <v>1954</v>
      </c>
      <c r="C7">
        <v>50</v>
      </c>
      <c r="D7">
        <v>9</v>
      </c>
      <c r="E7">
        <v>8.1199999999999992</v>
      </c>
      <c r="H7" s="14" t="s">
        <v>13</v>
      </c>
      <c r="I7" s="26"/>
      <c r="J7" s="26"/>
      <c r="K7" s="26"/>
      <c r="L7" s="26"/>
      <c r="M7" s="26">
        <v>6</v>
      </c>
      <c r="N7" s="26">
        <v>6</v>
      </c>
      <c r="O7" s="26">
        <v>6</v>
      </c>
    </row>
    <row r="8" spans="1:18" x14ac:dyDescent="0.2">
      <c r="A8" t="s">
        <v>12</v>
      </c>
      <c r="B8">
        <v>1963</v>
      </c>
      <c r="C8">
        <v>60</v>
      </c>
      <c r="D8">
        <v>9</v>
      </c>
      <c r="E8">
        <v>12.6</v>
      </c>
      <c r="H8" s="14" t="s">
        <v>19</v>
      </c>
      <c r="I8" s="26">
        <v>10</v>
      </c>
      <c r="J8" s="26">
        <v>11</v>
      </c>
      <c r="K8" s="26">
        <v>21</v>
      </c>
      <c r="L8" s="26">
        <v>8</v>
      </c>
      <c r="M8" s="26">
        <v>11</v>
      </c>
      <c r="N8" s="26">
        <v>19</v>
      </c>
      <c r="O8" s="26">
        <v>40</v>
      </c>
    </row>
    <row r="9" spans="1:18" x14ac:dyDescent="0.2">
      <c r="A9" t="s">
        <v>12</v>
      </c>
      <c r="B9">
        <v>1964</v>
      </c>
      <c r="C9">
        <v>60</v>
      </c>
      <c r="D9">
        <v>9</v>
      </c>
      <c r="E9">
        <v>13.61</v>
      </c>
      <c r="H9" s="14" t="s">
        <v>14</v>
      </c>
      <c r="I9" s="26"/>
      <c r="J9" s="26"/>
      <c r="K9" s="26"/>
      <c r="L9" s="26">
        <v>5</v>
      </c>
      <c r="M9" s="26">
        <v>4</v>
      </c>
      <c r="N9" s="26">
        <v>9</v>
      </c>
      <c r="O9" s="26">
        <v>9</v>
      </c>
    </row>
    <row r="10" spans="1:18" x14ac:dyDescent="0.2">
      <c r="A10" t="s">
        <v>12</v>
      </c>
      <c r="B10">
        <v>1965</v>
      </c>
      <c r="C10">
        <v>60</v>
      </c>
      <c r="D10">
        <v>9</v>
      </c>
      <c r="E10">
        <v>10.95</v>
      </c>
      <c r="H10" s="14" t="s">
        <v>16</v>
      </c>
      <c r="I10" s="26">
        <v>10</v>
      </c>
      <c r="J10" s="26">
        <v>11</v>
      </c>
      <c r="K10" s="26">
        <v>21</v>
      </c>
      <c r="L10" s="26">
        <v>15</v>
      </c>
      <c r="M10" s="26">
        <v>27</v>
      </c>
      <c r="N10" s="26">
        <v>42</v>
      </c>
      <c r="O10" s="26">
        <v>63</v>
      </c>
    </row>
    <row r="11" spans="1:18" x14ac:dyDescent="0.2">
      <c r="A11" t="s">
        <v>12</v>
      </c>
      <c r="B11">
        <v>1966</v>
      </c>
      <c r="C11">
        <v>60</v>
      </c>
      <c r="D11">
        <v>9</v>
      </c>
      <c r="E11">
        <v>15.88</v>
      </c>
      <c r="H11"/>
      <c r="I11"/>
      <c r="J11"/>
      <c r="K11"/>
    </row>
    <row r="12" spans="1:18" x14ac:dyDescent="0.2">
      <c r="A12" t="s">
        <v>12</v>
      </c>
      <c r="B12">
        <v>1967</v>
      </c>
      <c r="C12">
        <v>60</v>
      </c>
      <c r="D12">
        <v>9</v>
      </c>
      <c r="E12">
        <v>20.22</v>
      </c>
      <c r="H12"/>
      <c r="I12"/>
      <c r="J12"/>
      <c r="K12"/>
    </row>
    <row r="13" spans="1:18" x14ac:dyDescent="0.2">
      <c r="A13" t="s">
        <v>12</v>
      </c>
      <c r="B13">
        <v>1968</v>
      </c>
      <c r="C13">
        <v>60</v>
      </c>
      <c r="D13">
        <v>9</v>
      </c>
      <c r="E13">
        <v>21.98</v>
      </c>
      <c r="H13"/>
      <c r="I13"/>
      <c r="J13"/>
      <c r="K13"/>
    </row>
    <row r="14" spans="1:18" x14ac:dyDescent="0.2">
      <c r="A14" t="s">
        <v>13</v>
      </c>
      <c r="B14">
        <v>1964</v>
      </c>
      <c r="C14">
        <v>60</v>
      </c>
      <c r="D14">
        <v>9</v>
      </c>
      <c r="E14">
        <v>289.86</v>
      </c>
      <c r="H14"/>
      <c r="I14"/>
      <c r="J14"/>
      <c r="K14"/>
    </row>
    <row r="15" spans="1:18" x14ac:dyDescent="0.2">
      <c r="A15" t="s">
        <v>13</v>
      </c>
      <c r="B15">
        <v>1965</v>
      </c>
      <c r="C15">
        <v>60</v>
      </c>
      <c r="D15">
        <v>9</v>
      </c>
      <c r="E15">
        <v>140.49</v>
      </c>
      <c r="H15"/>
      <c r="I15"/>
      <c r="J15"/>
      <c r="K15"/>
    </row>
    <row r="16" spans="1:18" x14ac:dyDescent="0.2">
      <c r="A16" t="s">
        <v>13</v>
      </c>
      <c r="B16">
        <v>1966</v>
      </c>
      <c r="C16">
        <v>60</v>
      </c>
      <c r="D16">
        <v>9</v>
      </c>
      <c r="E16">
        <v>265.55</v>
      </c>
      <c r="H16"/>
      <c r="I16"/>
      <c r="J16"/>
      <c r="K16"/>
    </row>
    <row r="17" spans="1:11" x14ac:dyDescent="0.2">
      <c r="A17" t="s">
        <v>13</v>
      </c>
      <c r="B17">
        <v>1967</v>
      </c>
      <c r="C17">
        <v>60</v>
      </c>
      <c r="D17">
        <v>9</v>
      </c>
      <c r="E17">
        <v>345.35</v>
      </c>
      <c r="H17"/>
      <c r="I17"/>
      <c r="J17"/>
      <c r="K17"/>
    </row>
    <row r="18" spans="1:11" x14ac:dyDescent="0.2">
      <c r="A18" t="s">
        <v>13</v>
      </c>
      <c r="B18">
        <v>1969</v>
      </c>
      <c r="C18">
        <v>60</v>
      </c>
      <c r="D18">
        <v>9</v>
      </c>
      <c r="E18">
        <v>559.57000000000005</v>
      </c>
      <c r="H18"/>
      <c r="I18"/>
      <c r="J18"/>
      <c r="K18"/>
    </row>
    <row r="19" spans="1:11" x14ac:dyDescent="0.2">
      <c r="A19" t="s">
        <v>13</v>
      </c>
      <c r="B19">
        <v>1970</v>
      </c>
      <c r="C19">
        <v>60</v>
      </c>
      <c r="D19">
        <v>9</v>
      </c>
      <c r="E19">
        <v>333.55</v>
      </c>
      <c r="H19"/>
      <c r="I19"/>
      <c r="J19"/>
      <c r="K19"/>
    </row>
    <row r="20" spans="1:11" x14ac:dyDescent="0.2">
      <c r="A20" t="s">
        <v>19</v>
      </c>
      <c r="B20">
        <v>1750</v>
      </c>
      <c r="C20">
        <v>50</v>
      </c>
      <c r="D20">
        <v>7</v>
      </c>
      <c r="E20">
        <v>0.1</v>
      </c>
      <c r="H20"/>
      <c r="I20"/>
      <c r="J20"/>
      <c r="K20"/>
    </row>
    <row r="21" spans="1:11" x14ac:dyDescent="0.2">
      <c r="A21" t="s">
        <v>19</v>
      </c>
      <c r="B21">
        <v>1751</v>
      </c>
      <c r="C21">
        <v>50</v>
      </c>
      <c r="D21">
        <v>7</v>
      </c>
      <c r="E21">
        <v>0.1</v>
      </c>
      <c r="H21"/>
      <c r="I21"/>
      <c r="J21"/>
      <c r="K21"/>
    </row>
    <row r="22" spans="1:11" x14ac:dyDescent="0.2">
      <c r="A22" t="s">
        <v>19</v>
      </c>
      <c r="B22">
        <v>1752</v>
      </c>
      <c r="C22">
        <v>50</v>
      </c>
      <c r="D22">
        <v>7</v>
      </c>
      <c r="E22">
        <v>0.1</v>
      </c>
      <c r="H22"/>
      <c r="I22"/>
      <c r="J22"/>
      <c r="K22"/>
    </row>
    <row r="23" spans="1:11" x14ac:dyDescent="0.2">
      <c r="A23" t="s">
        <v>19</v>
      </c>
      <c r="B23">
        <v>1753</v>
      </c>
      <c r="C23">
        <v>50</v>
      </c>
      <c r="D23">
        <v>7</v>
      </c>
      <c r="E23">
        <v>0.1</v>
      </c>
      <c r="H23"/>
      <c r="I23"/>
      <c r="J23"/>
      <c r="K23"/>
    </row>
    <row r="24" spans="1:11" x14ac:dyDescent="0.2">
      <c r="A24" t="s">
        <v>19</v>
      </c>
      <c r="B24">
        <v>1754</v>
      </c>
      <c r="C24">
        <v>50</v>
      </c>
      <c r="D24">
        <v>7</v>
      </c>
      <c r="E24">
        <v>0.1</v>
      </c>
      <c r="H24"/>
      <c r="I24"/>
      <c r="J24"/>
      <c r="K24"/>
    </row>
    <row r="25" spans="1:11" x14ac:dyDescent="0.2">
      <c r="A25" t="s">
        <v>19</v>
      </c>
      <c r="B25">
        <v>1755</v>
      </c>
      <c r="C25">
        <v>50</v>
      </c>
      <c r="D25">
        <v>7</v>
      </c>
      <c r="E25">
        <v>0.1</v>
      </c>
      <c r="H25"/>
      <c r="I25"/>
      <c r="J25"/>
      <c r="K25"/>
    </row>
    <row r="26" spans="1:11" x14ac:dyDescent="0.2">
      <c r="A26" t="s">
        <v>19</v>
      </c>
      <c r="B26">
        <v>1756</v>
      </c>
      <c r="C26">
        <v>50</v>
      </c>
      <c r="D26">
        <v>7</v>
      </c>
      <c r="E26">
        <v>0.1</v>
      </c>
      <c r="H26"/>
      <c r="I26"/>
      <c r="J26"/>
      <c r="K26"/>
    </row>
    <row r="27" spans="1:11" x14ac:dyDescent="0.2">
      <c r="A27" t="s">
        <v>19</v>
      </c>
      <c r="B27">
        <v>1757</v>
      </c>
      <c r="C27">
        <v>50</v>
      </c>
      <c r="D27">
        <v>7</v>
      </c>
      <c r="E27">
        <v>0.1</v>
      </c>
      <c r="H27"/>
      <c r="I27"/>
      <c r="J27"/>
      <c r="K27"/>
    </row>
    <row r="28" spans="1:11" x14ac:dyDescent="0.2">
      <c r="A28" t="s">
        <v>19</v>
      </c>
      <c r="B28">
        <v>1758</v>
      </c>
      <c r="C28">
        <v>50</v>
      </c>
      <c r="D28">
        <v>7</v>
      </c>
      <c r="E28">
        <v>0.1</v>
      </c>
      <c r="H28"/>
      <c r="I28"/>
      <c r="J28"/>
      <c r="K28"/>
    </row>
    <row r="29" spans="1:11" x14ac:dyDescent="0.2">
      <c r="A29" t="s">
        <v>19</v>
      </c>
      <c r="B29">
        <v>1759</v>
      </c>
      <c r="C29">
        <v>50</v>
      </c>
      <c r="D29">
        <v>7</v>
      </c>
      <c r="E29">
        <v>0.1</v>
      </c>
      <c r="H29"/>
      <c r="I29"/>
      <c r="J29"/>
      <c r="K29"/>
    </row>
    <row r="30" spans="1:11" x14ac:dyDescent="0.2">
      <c r="A30" t="s">
        <v>19</v>
      </c>
      <c r="B30">
        <v>1760</v>
      </c>
      <c r="C30">
        <v>60</v>
      </c>
      <c r="D30">
        <v>7</v>
      </c>
      <c r="E30">
        <v>0.1</v>
      </c>
      <c r="H30"/>
      <c r="I30"/>
      <c r="J30"/>
      <c r="K30"/>
    </row>
    <row r="31" spans="1:11" x14ac:dyDescent="0.2">
      <c r="A31" t="s">
        <v>19</v>
      </c>
      <c r="B31">
        <v>1761</v>
      </c>
      <c r="C31">
        <v>60</v>
      </c>
      <c r="D31">
        <v>7</v>
      </c>
      <c r="E31">
        <v>0.1</v>
      </c>
      <c r="H31"/>
      <c r="I31"/>
      <c r="J31"/>
      <c r="K31"/>
    </row>
    <row r="32" spans="1:11" x14ac:dyDescent="0.2">
      <c r="A32" t="s">
        <v>19</v>
      </c>
      <c r="B32">
        <v>1762</v>
      </c>
      <c r="C32">
        <v>60</v>
      </c>
      <c r="D32">
        <v>7</v>
      </c>
      <c r="E32">
        <v>0.1</v>
      </c>
      <c r="H32"/>
      <c r="I32"/>
      <c r="J32"/>
      <c r="K32"/>
    </row>
    <row r="33" spans="1:11" x14ac:dyDescent="0.2">
      <c r="A33" t="s">
        <v>19</v>
      </c>
      <c r="B33">
        <v>1763</v>
      </c>
      <c r="C33">
        <v>60</v>
      </c>
      <c r="D33">
        <v>7</v>
      </c>
      <c r="E33">
        <v>0.1</v>
      </c>
      <c r="H33"/>
      <c r="I33"/>
      <c r="J33"/>
      <c r="K33"/>
    </row>
    <row r="34" spans="1:11" x14ac:dyDescent="0.2">
      <c r="A34" t="s">
        <v>19</v>
      </c>
      <c r="B34">
        <v>1764</v>
      </c>
      <c r="C34">
        <v>60</v>
      </c>
      <c r="D34">
        <v>7</v>
      </c>
      <c r="E34">
        <v>0.1</v>
      </c>
      <c r="H34"/>
      <c r="I34"/>
      <c r="J34"/>
      <c r="K34"/>
    </row>
    <row r="35" spans="1:11" x14ac:dyDescent="0.2">
      <c r="A35" t="s">
        <v>19</v>
      </c>
      <c r="B35">
        <v>1765</v>
      </c>
      <c r="C35">
        <v>60</v>
      </c>
      <c r="D35">
        <v>7</v>
      </c>
      <c r="E35">
        <v>0.1</v>
      </c>
      <c r="H35"/>
      <c r="I35"/>
      <c r="J35"/>
      <c r="K35"/>
    </row>
    <row r="36" spans="1:11" x14ac:dyDescent="0.2">
      <c r="A36" t="s">
        <v>19</v>
      </c>
      <c r="B36">
        <v>1766</v>
      </c>
      <c r="C36">
        <v>60</v>
      </c>
      <c r="D36">
        <v>7</v>
      </c>
      <c r="E36">
        <v>0.1</v>
      </c>
      <c r="H36"/>
      <c r="I36"/>
      <c r="J36"/>
      <c r="K36"/>
    </row>
    <row r="37" spans="1:11" x14ac:dyDescent="0.2">
      <c r="A37" t="s">
        <v>19</v>
      </c>
      <c r="B37">
        <v>1767</v>
      </c>
      <c r="C37">
        <v>60</v>
      </c>
      <c r="D37">
        <v>7</v>
      </c>
      <c r="E37">
        <v>0.1</v>
      </c>
      <c r="H37"/>
      <c r="I37"/>
      <c r="J37"/>
      <c r="K37"/>
    </row>
    <row r="38" spans="1:11" x14ac:dyDescent="0.2">
      <c r="A38" t="s">
        <v>19</v>
      </c>
      <c r="B38">
        <v>1768</v>
      </c>
      <c r="C38">
        <v>60</v>
      </c>
      <c r="D38">
        <v>7</v>
      </c>
      <c r="E38">
        <v>0.1</v>
      </c>
      <c r="H38"/>
      <c r="I38"/>
      <c r="J38"/>
      <c r="K38"/>
    </row>
    <row r="39" spans="1:11" x14ac:dyDescent="0.2">
      <c r="A39" t="s">
        <v>19</v>
      </c>
      <c r="B39">
        <v>1769</v>
      </c>
      <c r="C39">
        <v>60</v>
      </c>
      <c r="D39">
        <v>7</v>
      </c>
      <c r="E39">
        <v>0.1</v>
      </c>
      <c r="H39"/>
      <c r="I39"/>
      <c r="J39"/>
      <c r="K39"/>
    </row>
    <row r="40" spans="1:11" x14ac:dyDescent="0.2">
      <c r="A40" t="s">
        <v>19</v>
      </c>
      <c r="B40">
        <v>1770</v>
      </c>
      <c r="C40">
        <v>60</v>
      </c>
      <c r="D40">
        <v>7</v>
      </c>
      <c r="E40">
        <v>0.1</v>
      </c>
      <c r="H40"/>
      <c r="I40"/>
      <c r="J40"/>
      <c r="K40"/>
    </row>
    <row r="41" spans="1:11" x14ac:dyDescent="0.2">
      <c r="A41" t="s">
        <v>19</v>
      </c>
      <c r="B41">
        <v>1950</v>
      </c>
      <c r="C41">
        <v>50</v>
      </c>
      <c r="D41">
        <v>9</v>
      </c>
      <c r="E41">
        <v>52.28</v>
      </c>
      <c r="H41"/>
      <c r="I41"/>
      <c r="J41"/>
      <c r="K41"/>
    </row>
    <row r="42" spans="1:11" x14ac:dyDescent="0.2">
      <c r="A42" t="s">
        <v>19</v>
      </c>
      <c r="B42">
        <v>1951</v>
      </c>
      <c r="C42">
        <v>50</v>
      </c>
      <c r="D42">
        <v>9</v>
      </c>
      <c r="E42">
        <v>47.61</v>
      </c>
      <c r="H42"/>
      <c r="I42"/>
      <c r="J42"/>
      <c r="K42"/>
    </row>
    <row r="43" spans="1:11" x14ac:dyDescent="0.2">
      <c r="A43" t="s">
        <v>19</v>
      </c>
      <c r="B43">
        <v>1952</v>
      </c>
      <c r="C43">
        <v>50</v>
      </c>
      <c r="D43">
        <v>9</v>
      </c>
      <c r="E43">
        <v>45.53</v>
      </c>
      <c r="H43"/>
      <c r="I43"/>
      <c r="J43"/>
      <c r="K43"/>
    </row>
    <row r="44" spans="1:11" x14ac:dyDescent="0.2">
      <c r="A44" t="s">
        <v>19</v>
      </c>
      <c r="B44">
        <v>1953</v>
      </c>
      <c r="C44">
        <v>50</v>
      </c>
      <c r="D44">
        <v>9</v>
      </c>
      <c r="E44">
        <v>43.52</v>
      </c>
      <c r="H44"/>
      <c r="I44"/>
      <c r="J44"/>
      <c r="K44"/>
    </row>
    <row r="45" spans="1:11" x14ac:dyDescent="0.2">
      <c r="A45" t="s">
        <v>19</v>
      </c>
      <c r="B45">
        <v>1954</v>
      </c>
      <c r="C45">
        <v>50</v>
      </c>
      <c r="D45">
        <v>9</v>
      </c>
      <c r="E45">
        <v>37.64</v>
      </c>
      <c r="H45"/>
      <c r="I45"/>
      <c r="J45"/>
      <c r="K45"/>
    </row>
    <row r="46" spans="1:11" x14ac:dyDescent="0.2">
      <c r="A46" t="s">
        <v>19</v>
      </c>
      <c r="B46">
        <v>1955</v>
      </c>
      <c r="C46">
        <v>50</v>
      </c>
      <c r="D46">
        <v>9</v>
      </c>
      <c r="E46">
        <v>47.22</v>
      </c>
      <c r="H46"/>
      <c r="I46"/>
      <c r="J46"/>
      <c r="K46"/>
    </row>
    <row r="47" spans="1:11" x14ac:dyDescent="0.2">
      <c r="A47" t="s">
        <v>19</v>
      </c>
      <c r="B47">
        <v>1958</v>
      </c>
      <c r="C47">
        <v>50</v>
      </c>
      <c r="D47">
        <v>9</v>
      </c>
      <c r="E47">
        <v>41.71</v>
      </c>
    </row>
    <row r="48" spans="1:11" x14ac:dyDescent="0.2">
      <c r="A48" t="s">
        <v>19</v>
      </c>
      <c r="B48">
        <v>1959</v>
      </c>
      <c r="C48">
        <v>50</v>
      </c>
      <c r="D48">
        <v>9</v>
      </c>
      <c r="E48">
        <v>28.12</v>
      </c>
    </row>
    <row r="49" spans="1:5" x14ac:dyDescent="0.2">
      <c r="A49" t="s">
        <v>19</v>
      </c>
      <c r="B49">
        <v>1960</v>
      </c>
      <c r="C49">
        <v>60</v>
      </c>
      <c r="D49">
        <v>9</v>
      </c>
      <c r="E49">
        <v>24.75</v>
      </c>
    </row>
    <row r="50" spans="1:5" x14ac:dyDescent="0.2">
      <c r="A50" t="s">
        <v>19</v>
      </c>
      <c r="B50">
        <v>1961</v>
      </c>
      <c r="C50">
        <v>60</v>
      </c>
      <c r="D50">
        <v>9</v>
      </c>
      <c r="E50">
        <v>20.2</v>
      </c>
    </row>
    <row r="51" spans="1:5" x14ac:dyDescent="0.2">
      <c r="A51" t="s">
        <v>19</v>
      </c>
      <c r="B51">
        <v>1962</v>
      </c>
      <c r="C51">
        <v>60</v>
      </c>
      <c r="D51">
        <v>9</v>
      </c>
      <c r="E51">
        <v>24.42</v>
      </c>
    </row>
    <row r="52" spans="1:5" x14ac:dyDescent="0.2">
      <c r="A52" t="s">
        <v>19</v>
      </c>
      <c r="B52">
        <v>1963</v>
      </c>
      <c r="C52">
        <v>60</v>
      </c>
      <c r="D52">
        <v>9</v>
      </c>
      <c r="E52">
        <v>39.299999999999997</v>
      </c>
    </row>
    <row r="53" spans="1:5" x14ac:dyDescent="0.2">
      <c r="A53" t="s">
        <v>19</v>
      </c>
      <c r="B53">
        <v>1964</v>
      </c>
      <c r="C53">
        <v>60</v>
      </c>
      <c r="D53">
        <v>9</v>
      </c>
      <c r="E53">
        <v>27.7</v>
      </c>
    </row>
    <row r="54" spans="1:5" x14ac:dyDescent="0.2">
      <c r="A54" t="s">
        <v>19</v>
      </c>
      <c r="B54">
        <v>1965</v>
      </c>
      <c r="C54">
        <v>60</v>
      </c>
      <c r="D54">
        <v>9</v>
      </c>
      <c r="E54">
        <v>27</v>
      </c>
    </row>
    <row r="55" spans="1:5" x14ac:dyDescent="0.2">
      <c r="A55" t="s">
        <v>19</v>
      </c>
      <c r="B55">
        <v>1966</v>
      </c>
      <c r="C55">
        <v>60</v>
      </c>
      <c r="D55">
        <v>9</v>
      </c>
      <c r="E55">
        <v>24.49</v>
      </c>
    </row>
    <row r="56" spans="1:5" x14ac:dyDescent="0.2">
      <c r="A56" t="s">
        <v>19</v>
      </c>
      <c r="B56">
        <v>1967</v>
      </c>
      <c r="C56">
        <v>60</v>
      </c>
      <c r="D56">
        <v>9</v>
      </c>
      <c r="E56">
        <v>20.98</v>
      </c>
    </row>
    <row r="57" spans="1:5" x14ac:dyDescent="0.2">
      <c r="A57" t="s">
        <v>19</v>
      </c>
      <c r="B57">
        <v>1968</v>
      </c>
      <c r="C57">
        <v>60</v>
      </c>
      <c r="D57">
        <v>9</v>
      </c>
      <c r="E57">
        <v>22.03</v>
      </c>
    </row>
    <row r="58" spans="1:5" x14ac:dyDescent="0.2">
      <c r="A58" t="s">
        <v>19</v>
      </c>
      <c r="B58">
        <v>1969</v>
      </c>
      <c r="C58">
        <v>60</v>
      </c>
      <c r="D58">
        <v>9</v>
      </c>
      <c r="E58">
        <v>25.96</v>
      </c>
    </row>
    <row r="59" spans="1:5" x14ac:dyDescent="0.2">
      <c r="A59" t="s">
        <v>19</v>
      </c>
      <c r="B59">
        <v>1970</v>
      </c>
      <c r="C59">
        <v>60</v>
      </c>
      <c r="D59">
        <v>9</v>
      </c>
      <c r="E59">
        <v>26.15</v>
      </c>
    </row>
    <row r="60" spans="1:5" x14ac:dyDescent="0.2">
      <c r="A60" t="s">
        <v>14</v>
      </c>
      <c r="B60">
        <v>1953</v>
      </c>
      <c r="C60">
        <v>50</v>
      </c>
      <c r="D60">
        <v>9</v>
      </c>
      <c r="E60">
        <v>15.08</v>
      </c>
    </row>
    <row r="61" spans="1:5" x14ac:dyDescent="0.2">
      <c r="A61" t="s">
        <v>14</v>
      </c>
      <c r="B61">
        <v>1954</v>
      </c>
      <c r="C61">
        <v>50</v>
      </c>
      <c r="D61">
        <v>9</v>
      </c>
      <c r="E61">
        <v>23.81</v>
      </c>
    </row>
    <row r="62" spans="1:5" x14ac:dyDescent="0.2">
      <c r="A62" t="s">
        <v>14</v>
      </c>
      <c r="B62">
        <v>1955</v>
      </c>
      <c r="C62">
        <v>50</v>
      </c>
      <c r="D62">
        <v>9</v>
      </c>
      <c r="E62">
        <v>32.24</v>
      </c>
    </row>
    <row r="63" spans="1:5" x14ac:dyDescent="0.2">
      <c r="A63" t="s">
        <v>14</v>
      </c>
      <c r="B63">
        <v>1957</v>
      </c>
      <c r="C63">
        <v>50</v>
      </c>
      <c r="D63">
        <v>9</v>
      </c>
      <c r="E63">
        <v>29.11</v>
      </c>
    </row>
    <row r="64" spans="1:5" x14ac:dyDescent="0.2">
      <c r="A64" t="s">
        <v>14</v>
      </c>
      <c r="B64">
        <v>1958</v>
      </c>
      <c r="C64">
        <v>50</v>
      </c>
      <c r="D64">
        <v>9</v>
      </c>
      <c r="E64">
        <v>24.46</v>
      </c>
    </row>
    <row r="65" spans="1:5" x14ac:dyDescent="0.2">
      <c r="A65" t="s">
        <v>14</v>
      </c>
      <c r="B65">
        <v>1964</v>
      </c>
      <c r="C65">
        <v>60</v>
      </c>
      <c r="D65">
        <v>9</v>
      </c>
      <c r="E65">
        <v>23.95</v>
      </c>
    </row>
    <row r="66" spans="1:5" x14ac:dyDescent="0.2">
      <c r="A66" t="s">
        <v>14</v>
      </c>
      <c r="B66">
        <v>1965</v>
      </c>
      <c r="C66">
        <v>60</v>
      </c>
      <c r="D66">
        <v>9</v>
      </c>
      <c r="E66">
        <v>43.8</v>
      </c>
    </row>
    <row r="67" spans="1:5" x14ac:dyDescent="0.2">
      <c r="A67" t="s">
        <v>14</v>
      </c>
      <c r="B67">
        <v>1966</v>
      </c>
      <c r="C67">
        <v>60</v>
      </c>
      <c r="D67">
        <v>9</v>
      </c>
      <c r="E67">
        <v>53.46</v>
      </c>
    </row>
    <row r="68" spans="1:5" x14ac:dyDescent="0.2">
      <c r="A68" t="s">
        <v>14</v>
      </c>
      <c r="B68">
        <v>1969</v>
      </c>
      <c r="C68">
        <v>60</v>
      </c>
      <c r="D68">
        <v>9</v>
      </c>
      <c r="E68">
        <v>26.82</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8130-AEF8-5C4F-9BD1-FA281554AB5A}">
  <dimension ref="A1:V4"/>
  <sheetViews>
    <sheetView workbookViewId="0">
      <selection activeCell="R11" sqref="R11"/>
    </sheetView>
  </sheetViews>
  <sheetFormatPr baseColWidth="10" defaultRowHeight="16" x14ac:dyDescent="0.2"/>
  <sheetData>
    <row r="1" spans="1:22" x14ac:dyDescent="0.2">
      <c r="A1" s="16" t="s">
        <v>12</v>
      </c>
      <c r="B1" s="17">
        <v>2</v>
      </c>
      <c r="C1" s="17">
        <v>6</v>
      </c>
      <c r="D1" s="17">
        <v>8</v>
      </c>
      <c r="F1" s="14" t="s">
        <v>12</v>
      </c>
      <c r="H1">
        <v>2</v>
      </c>
      <c r="I1" s="18">
        <v>2</v>
      </c>
      <c r="K1">
        <v>6</v>
      </c>
      <c r="L1" s="18">
        <v>6</v>
      </c>
      <c r="M1">
        <v>8</v>
      </c>
      <c r="O1" s="14" t="s">
        <v>12</v>
      </c>
      <c r="R1" s="18"/>
      <c r="S1">
        <v>2</v>
      </c>
      <c r="T1">
        <v>6</v>
      </c>
      <c r="U1" s="18">
        <v>8</v>
      </c>
      <c r="V1">
        <v>8</v>
      </c>
    </row>
    <row r="2" spans="1:22" x14ac:dyDescent="0.2">
      <c r="A2" s="16" t="s">
        <v>13</v>
      </c>
      <c r="B2" s="17"/>
      <c r="C2" s="17">
        <v>6</v>
      </c>
      <c r="D2" s="17">
        <v>6</v>
      </c>
      <c r="F2" s="14" t="s">
        <v>13</v>
      </c>
      <c r="I2" s="18"/>
      <c r="K2">
        <v>6</v>
      </c>
      <c r="L2" s="18">
        <v>6</v>
      </c>
      <c r="M2">
        <v>6</v>
      </c>
      <c r="O2" s="14" t="s">
        <v>13</v>
      </c>
      <c r="R2" s="18"/>
      <c r="T2">
        <v>6</v>
      </c>
      <c r="U2" s="18">
        <v>6</v>
      </c>
      <c r="V2">
        <v>6</v>
      </c>
    </row>
    <row r="3" spans="1:22" x14ac:dyDescent="0.2">
      <c r="A3" s="16" t="s">
        <v>19</v>
      </c>
      <c r="B3" s="17">
        <v>18</v>
      </c>
      <c r="C3" s="17">
        <v>22</v>
      </c>
      <c r="D3" s="17">
        <v>40</v>
      </c>
      <c r="F3" s="14" t="s">
        <v>19</v>
      </c>
      <c r="G3">
        <v>10</v>
      </c>
      <c r="H3">
        <v>8</v>
      </c>
      <c r="I3" s="18">
        <v>18</v>
      </c>
      <c r="J3">
        <v>11</v>
      </c>
      <c r="K3">
        <v>11</v>
      </c>
      <c r="L3" s="18">
        <v>22</v>
      </c>
      <c r="M3">
        <v>40</v>
      </c>
      <c r="O3" s="14" t="s">
        <v>19</v>
      </c>
      <c r="P3">
        <v>10</v>
      </c>
      <c r="Q3">
        <v>11</v>
      </c>
      <c r="R3" s="18">
        <v>21</v>
      </c>
      <c r="S3">
        <v>8</v>
      </c>
      <c r="T3">
        <v>11</v>
      </c>
      <c r="U3" s="18">
        <v>19</v>
      </c>
      <c r="V3">
        <v>40</v>
      </c>
    </row>
    <row r="4" spans="1:22" x14ac:dyDescent="0.2">
      <c r="A4" s="16" t="s">
        <v>14</v>
      </c>
      <c r="B4" s="17">
        <v>5</v>
      </c>
      <c r="C4" s="17">
        <v>4</v>
      </c>
      <c r="D4" s="17">
        <v>9</v>
      </c>
      <c r="F4" s="14" t="s">
        <v>14</v>
      </c>
      <c r="H4">
        <v>5</v>
      </c>
      <c r="I4" s="18">
        <v>5</v>
      </c>
      <c r="K4">
        <v>4</v>
      </c>
      <c r="L4" s="18">
        <v>4</v>
      </c>
      <c r="M4">
        <v>9</v>
      </c>
      <c r="O4" s="14" t="s">
        <v>14</v>
      </c>
      <c r="R4" s="18"/>
      <c r="S4">
        <v>5</v>
      </c>
      <c r="T4">
        <v>4</v>
      </c>
      <c r="U4" s="18">
        <v>9</v>
      </c>
      <c r="V4">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baseColWidth="10" defaultRowHeight="16" x14ac:dyDescent="0.2"/>
  <sheetData>
    <row r="1" spans="1:7" x14ac:dyDescent="0.2">
      <c r="A1">
        <v>2</v>
      </c>
      <c r="B1">
        <v>6</v>
      </c>
      <c r="D1">
        <v>2</v>
      </c>
      <c r="F1">
        <v>18</v>
      </c>
      <c r="G1">
        <v>5</v>
      </c>
    </row>
    <row r="2" spans="1:7" x14ac:dyDescent="0.2">
      <c r="B2">
        <v>6</v>
      </c>
      <c r="D2">
        <v>6</v>
      </c>
      <c r="E2">
        <v>6</v>
      </c>
      <c r="F2">
        <v>22</v>
      </c>
      <c r="G2">
        <v>4</v>
      </c>
    </row>
    <row r="3" spans="1:7" x14ac:dyDescent="0.2">
      <c r="A3">
        <v>18</v>
      </c>
      <c r="B3">
        <v>22</v>
      </c>
    </row>
    <row r="4" spans="1:7" x14ac:dyDescent="0.2">
      <c r="A4">
        <v>5</v>
      </c>
      <c r="B4">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3"/>
  <sheetViews>
    <sheetView workbookViewId="0">
      <selection activeCell="D2" sqref="D2:F2"/>
    </sheetView>
  </sheetViews>
  <sheetFormatPr baseColWidth="10" defaultRowHeight="16" x14ac:dyDescent="0.2"/>
  <sheetData>
    <row r="1" spans="1:7" x14ac:dyDescent="0.2">
      <c r="A1" s="14" t="s">
        <v>12</v>
      </c>
      <c r="B1">
        <v>21.98</v>
      </c>
      <c r="D1" s="15" t="s">
        <v>12</v>
      </c>
      <c r="E1" s="15" t="s">
        <v>13</v>
      </c>
      <c r="F1" s="15" t="s">
        <v>14</v>
      </c>
      <c r="G1" s="15" t="s">
        <v>16</v>
      </c>
    </row>
    <row r="2" spans="1:7" x14ac:dyDescent="0.2">
      <c r="A2" s="14" t="s">
        <v>13</v>
      </c>
      <c r="B2">
        <v>559.57000000000005</v>
      </c>
      <c r="D2" s="19">
        <v>21.98</v>
      </c>
      <c r="E2" s="19">
        <v>559.57000000000005</v>
      </c>
      <c r="F2" s="19">
        <v>53.46</v>
      </c>
      <c r="G2" s="19">
        <v>559.57000000000005</v>
      </c>
    </row>
    <row r="3" spans="1:7" x14ac:dyDescent="0.2">
      <c r="A3" s="14" t="s">
        <v>14</v>
      </c>
      <c r="B3">
        <v>53.46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F3"/>
  <sheetViews>
    <sheetView workbookViewId="0">
      <selection activeCell="D26" sqref="D26"/>
    </sheetView>
  </sheetViews>
  <sheetFormatPr baseColWidth="10" defaultRowHeight="16" x14ac:dyDescent="0.2"/>
  <sheetData>
    <row r="1" spans="1:6" x14ac:dyDescent="0.2">
      <c r="A1">
        <v>9.36</v>
      </c>
      <c r="B1">
        <v>15.873333333333333</v>
      </c>
      <c r="D1">
        <v>9.36</v>
      </c>
      <c r="F1">
        <v>24.939999999999998</v>
      </c>
    </row>
    <row r="2" spans="1:6" x14ac:dyDescent="0.2">
      <c r="B2">
        <v>322.39500000000004</v>
      </c>
      <c r="D2">
        <v>15.873333333333333</v>
      </c>
      <c r="E2">
        <v>322.39500000000004</v>
      </c>
      <c r="F2">
        <v>37.0075</v>
      </c>
    </row>
    <row r="3" spans="1:6" x14ac:dyDescent="0.2">
      <c r="A3">
        <v>24.939999999999998</v>
      </c>
      <c r="B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Exercise 1</vt:lpstr>
      <vt:lpstr>Exercise 2</vt:lpstr>
      <vt:lpstr>Exercise 3</vt:lpstr>
      <vt:lpstr>Exercise 4</vt:lpstr>
      <vt:lpstr>Exercise 4 checks</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chesterdynfajardo@gmail.com</cp:lastModifiedBy>
  <dcterms:created xsi:type="dcterms:W3CDTF">2022-05-11T12:42:03Z</dcterms:created>
  <dcterms:modified xsi:type="dcterms:W3CDTF">2026-01-17T11:48:56Z</dcterms:modified>
</cp:coreProperties>
</file>